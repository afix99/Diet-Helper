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Streak &amp; Badges" sheetId="2" state="visible" r:id="rId4"/>
    <sheet name="Weekly Meal Schedule" sheetId="3" state="visible" r:id="rId5"/>
    <sheet name="Food Database" sheetId="4" state="visible" r:id="rId6"/>
    <sheet name="Recipe Collection" sheetId="5" state="visible" r:id="rId7"/>
    <sheet name="Body Composition" sheetId="6" state="visible" r:id="rId8"/>
    <sheet name="Shopping &amp; Meal Prep" sheetId="7" state="visible" r:id="rId9"/>
    <sheet name="Supplement &amp; Hydration" sheetId="8" state="visible" r:id="rId10"/>
    <sheet name="Methodology &amp; References" sheetId="9" state="visible" r:id="rId11"/>
  </sheets>
  <definedNames>
    <definedName function="false" hidden="false" name="BodyWt" vbProcedure="false">'Body Composition'!$C$6:$C$17</definedName>
    <definedName function="false" hidden="false" name="FoodCarb" vbProcedure="false">'Food Database'!$F$4:$F$72</definedName>
    <definedName function="false" hidden="false" name="FoodFat" vbProcedure="false">'Food Database'!$G$4:$G$72</definedName>
    <definedName function="false" hidden="false" name="FoodFib" vbProcedure="false">'Food Database'!$H$4:$H$72</definedName>
    <definedName function="false" hidden="false" name="FoodKcal" vbProcedure="false">'Food Database'!$D$4:$D$72</definedName>
    <definedName function="false" hidden="false" name="FoodName" vbProcedure="false">'Food Database'!$B$4:$B$72</definedName>
    <definedName function="false" hidden="false" name="FoodPro" vbProcedure="false">'Food Database'!$E$4:$E$72</definedName>
    <definedName function="false" hidden="false" name="GoalWt" vbProcedure="false">Dashboard!$D$6</definedName>
    <definedName function="false" hidden="false" name="StartWt" vbProcedure="false">Dashboard!$B$6</definedName>
    <definedName function="false" hidden="false" name="TgtCarb" vbProcedure="false">Dashboard!$B$17</definedName>
    <definedName function="false" hidden="false" name="TgtFat" vbProcedure="false">Dashboard!$B$18</definedName>
    <definedName function="false" hidden="false" name="TgtFib" vbProcedure="false">Dashboard!$B$19</definedName>
    <definedName function="false" hidden="false" name="TgtKcal" vbProcedure="false">Dashboard!$B$15</definedName>
    <definedName function="false" hidden="false" name="TgtPro" vbProcedure="false">Dashboard!$B$16</definedName>
    <definedName function="false" hidden="false" name="WeekKcal" vbProcedure="false">'Streak &amp; Badges'!$B$6:$B$12</definedName>
    <definedName function="false" hidden="false" name="WeekPro" vbProcedure="false">'Streak &amp; Badges'!$C$6:$C$12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<sst xmlns="http://schemas.openxmlformats.org/spreadsheetml/2006/main" count="1223" uniqueCount="794">
  <si>
    <t xml:space="preserve">NUTRITIONAL PROGRAMME — PERSONALISED MEAL PLANNING SYSTEM</t>
  </si>
  <si>
    <t xml:space="preserve">Evidence-based approach | Structured tracking | Sustainable fat loss protocol</t>
  </si>
  <si>
    <t xml:space="preserve">CLIENT PROFILE &amp; BASELINE METRICS</t>
  </si>
  <si>
    <t xml:space="preserve">WEEKLY COMPLIANCE SUMMARY</t>
  </si>
  <si>
    <t xml:space="preserve">Metric</t>
  </si>
  <si>
    <t xml:space="preserve">Value</t>
  </si>
  <si>
    <t xml:space="preserve">Week</t>
  </si>
  <si>
    <t xml:space="preserve">Avg. Kcal</t>
  </si>
  <si>
    <t xml:space="preserve">Avg. Protein</t>
  </si>
  <si>
    <t xml:space="preserve">Within Target?</t>
  </si>
  <si>
    <t xml:space="preserve">Weight (kg)</t>
  </si>
  <si>
    <t xml:space="preserve">Trend</t>
  </si>
  <si>
    <t xml:space="preserve">Starting Weight (kg)</t>
  </si>
  <si>
    <t xml:space="preserve">Goal Weight (kg)</t>
  </si>
  <si>
    <t xml:space="preserve">Week 1</t>
  </si>
  <si>
    <t xml:space="preserve">Height (cm)</t>
  </si>
  <si>
    <t xml:space="preserve">Age</t>
  </si>
  <si>
    <t xml:space="preserve">Week 2</t>
  </si>
  <si>
    <t xml:space="preserve">[AUTO]</t>
  </si>
  <si>
    <t xml:space="preserve">Estimated BMR (kcal)</t>
  </si>
  <si>
    <t xml:space="preserve">TDEE — Sedentary (kcal)</t>
  </si>
  <si>
    <t xml:space="preserve">Week 3</t>
  </si>
  <si>
    <t xml:space="preserve">TDEE — Moderate (kcal)</t>
  </si>
  <si>
    <t xml:space="preserve">TDEE — Active (kcal)</t>
  </si>
  <si>
    <t xml:space="preserve">Week 4</t>
  </si>
  <si>
    <t xml:space="preserve">Body Fat % (est.)</t>
  </si>
  <si>
    <t xml:space="preserve">Lean Body Mass (kg)</t>
  </si>
  <si>
    <t xml:space="preserve">Week 5</t>
  </si>
  <si>
    <t xml:space="preserve">Programme Start Date</t>
  </si>
  <si>
    <t xml:space="preserve">Target Date (12 weeks)</t>
  </si>
  <si>
    <t xml:space="preserve">Week 6</t>
  </si>
  <si>
    <t xml:space="preserve">Week 7</t>
  </si>
  <si>
    <t xml:space="preserve">DAILY NUTRITIONAL TARGETS</t>
  </si>
  <si>
    <t xml:space="preserve">Week 8</t>
  </si>
  <si>
    <t xml:space="preserve">Macronutrient</t>
  </si>
  <si>
    <t xml:space="preserve">Target</t>
  </si>
  <si>
    <t xml:space="preserve">Range (±10%)</t>
  </si>
  <si>
    <t xml:space="preserve">Notes</t>
  </si>
  <si>
    <t xml:space="preserve">Week 9</t>
  </si>
  <si>
    <t xml:space="preserve">Total Energy (kcal)</t>
  </si>
  <si>
    <t xml:space="preserve">1350–1650</t>
  </si>
  <si>
    <t xml:space="preserve">Moderate deficit: ~500 kcal below TDEE</t>
  </si>
  <si>
    <t xml:space="preserve">Week 10</t>
  </si>
  <si>
    <t xml:space="preserve">Protein (g)</t>
  </si>
  <si>
    <t xml:space="preserve">81–99</t>
  </si>
  <si>
    <t xml:space="preserve">1.4–1.6 g/kg target body weight; preserves LBM in deficit</t>
  </si>
  <si>
    <t xml:space="preserve">Week 11</t>
  </si>
  <si>
    <t xml:space="preserve">Carbohydrates (g)</t>
  </si>
  <si>
    <t xml:space="preserve">117–143</t>
  </si>
  <si>
    <t xml:space="preserve">Sufficient for cognitive function &amp; training performance</t>
  </si>
  <si>
    <t xml:space="preserve">Week 12</t>
  </si>
  <si>
    <t xml:space="preserve">Dietary Fat (g)</t>
  </si>
  <si>
    <t xml:space="preserve">45–55</t>
  </si>
  <si>
    <t xml:space="preserve">Minimum 0.8 g/kg; hormone production &amp; nutrient absorption</t>
  </si>
  <si>
    <t xml:space="preserve">Week 1 auto dari Weekly Meal Schedule. Minggu 2 ke atas — salin purata ke sini bila mula minggu baru.</t>
  </si>
  <si>
    <t xml:space="preserve">Dietary Fibre (g)</t>
  </si>
  <si>
    <t xml:space="preserve">25–35</t>
  </si>
  <si>
    <t xml:space="preserve">Promotes satiety &amp; gut microbiome diversity</t>
  </si>
  <si>
    <t xml:space="preserve">Water Intake (ml)</t>
  </si>
  <si>
    <t xml:space="preserve">2000–3000</t>
  </si>
  <si>
    <t xml:space="preserve">Baseline; increase with activity &amp; ambient temperature</t>
  </si>
  <si>
    <t xml:space="preserve">Omega-3 EPA+DHA (mg)</t>
  </si>
  <si>
    <t xml:space="preserve">500–2000</t>
  </si>
  <si>
    <t xml:space="preserve">Salmon provides ~1.5g per 150g serving</t>
  </si>
  <si>
    <t xml:space="preserve">PROGRAMME PRINCIPLES &amp; METHODOLOGY</t>
  </si>
  <si>
    <t xml:space="preserve">1. ENERGY DEFICIT: A sustained caloric deficit of 300–500 kcal/day produces fat loss of 0.4–0.6 kg/week while minimising lean tissue catabolism.</t>
  </si>
  <si>
    <t xml:space="preserve">2. PROTEIN PRIORITISATION: Protein intake ≥1.4 g/kg target weight preserves muscle mass, increases diet-induced thermogenesis, and enhances satiety signalling.</t>
  </si>
  <si>
    <t xml:space="preserve">3. MICRONUTRIENT DENSITY: Minimum 5 servings/day of vegetables and 2 servings/day of fruit to ensure adequate fibre, vitamins, and phytonutrients.</t>
  </si>
  <si>
    <t xml:space="preserve">4. MEAL FREQUENCY: 3 main meals + 1–2 snacks distributed across 10–12 hours supports stable blood glucose and reduces unplanned eating.</t>
  </si>
  <si>
    <t xml:space="preserve">5. HYDRATION PROTOCOL: 250–500ml water upon waking; 250ml before each meal; additional intake during and after physical activity.</t>
  </si>
  <si>
    <t xml:space="preserve">6. ADHERENCE MECHANISM: One flexible meal (≤800 kcal) per week to support psychological sustainability and social participation without compromising weekly deficit.</t>
  </si>
  <si>
    <t xml:space="preserve">7. PROGRESS MONITORING: Weigh-in once weekly (morning, post-void, pre-breakfast, consistent clothing); track 7-day rolling average rather than daily fluctuations.</t>
  </si>
  <si>
    <t xml:space="preserve">8. SLEEP &amp; RECOVERY: 7–9 hours sleep; sleep restriction impairs ghrelin/leptin regulation and increases hedonic food cravings by 24–45%.</t>
  </si>
  <si>
    <t xml:space="preserve">STREAK &amp; BADGES</t>
  </si>
  <si>
    <t xml:space="preserve">Semua auto dari Weekly Meal Schedule &amp; Body Composition. Tak perlu isi apa-apa di sini.</t>
  </si>
  <si>
    <t xml:space="preserve">MINGGU INI  ·  THIS WEEK</t>
  </si>
  <si>
    <t xml:space="preserve">Hari / Day</t>
  </si>
  <si>
    <t xml:space="preserve">Kcal</t>
  </si>
  <si>
    <t xml:space="preserve">Salmon</t>
  </si>
  <si>
    <t xml:space="preserve">Streak</t>
  </si>
  <si>
    <t xml:space="preserve">Status</t>
  </si>
  <si>
    <t xml:space="preserve">Isnin / Monday</t>
  </si>
  <si>
    <t xml:space="preserve">Selasa / Tuesday</t>
  </si>
  <si>
    <t xml:space="preserve">Rabu / Wednesday</t>
  </si>
  <si>
    <t xml:space="preserve">Khamis / Thursday</t>
  </si>
  <si>
    <t xml:space="preserve">Jumaat / Friday</t>
  </si>
  <si>
    <t xml:space="preserve">Sabtu / Saturday</t>
  </si>
  <si>
    <t xml:space="preserve">Ahad / Sunday</t>
  </si>
  <si>
    <t xml:space="preserve">RINGKASAN  ·  SUMMARY</t>
  </si>
  <si>
    <t xml:space="preserve">Hari log
Days logged</t>
  </si>
  <si>
    <t xml:space="preserve">Ikut target
On target</t>
  </si>
  <si>
    <t xml:space="preserve">Salmon
Meals</t>
  </si>
  <si>
    <t xml:space="preserve">Streak terbaik
Best run</t>
  </si>
  <si>
    <t xml:space="preserve">Protein ok
Days ≥ target</t>
  </si>
  <si>
    <t xml:space="preserve">Berat terkini
Latest (kg)</t>
  </si>
  <si>
    <t xml:space="preserve">Lagi berapa
To goal (kg)</t>
  </si>
  <si>
    <t xml:space="preserve">LENCANA  ·  BADGES</t>
  </si>
  <si>
    <t xml:space="preserve">Lencana / Badge</t>
  </si>
  <si>
    <t xml:space="preserve">Syarat / How to unlock</t>
  </si>
  <si>
    <t xml:space="preserve">Langkah Pertama</t>
  </si>
  <si>
    <t xml:space="preserve">Log mana-mana satu hari</t>
  </si>
  <si>
    <t xml:space="preserve">Tiga Hari Lurus</t>
  </si>
  <si>
    <t xml:space="preserve">Streak 3 hari berturut-turut</t>
  </si>
  <si>
    <t xml:space="preserve">Seminggu Penuh</t>
  </si>
  <si>
    <t xml:space="preserve">Log semua 7 hari</t>
  </si>
  <si>
    <t xml:space="preserve">Omega Squad</t>
  </si>
  <si>
    <t xml:space="preserve">3 hidangan salmon dalam seminggu</t>
  </si>
  <si>
    <t xml:space="preserve">Protein Power</t>
  </si>
  <si>
    <t xml:space="preserve">4 hari capai target protein</t>
  </si>
  <si>
    <t xml:space="preserve">Disiplin</t>
  </si>
  <si>
    <t xml:space="preserve">5 hari ikut target kalori</t>
  </si>
  <si>
    <t xml:space="preserve">Turun 1 kg</t>
  </si>
  <si>
    <t xml:space="preserve">Berat turun 1 kg dari mula</t>
  </si>
  <si>
    <t xml:space="preserve">Turun 3 kg</t>
  </si>
  <si>
    <t xml:space="preserve">Berat turun 3 kg dari mula</t>
  </si>
  <si>
    <t xml:space="preserve">Sampai Goal</t>
  </si>
  <si>
    <t xml:space="preserve">Capai berat sasaran</t>
  </si>
  <si>
    <t xml:space="preserve">WEEKLY MEAL SCHEDULE — 7-DAY DIETARY RECORD</t>
  </si>
  <si>
    <t xml:space="preserve">Record all food and beverages consumed. Use the Food Database sheet for macro values. Weigh raw portions where possible for accuracy.</t>
  </si>
  <si>
    <t xml:space="preserve">Kuning = isi sendiri  ·  Kelabu = auto  ·  Pilih makanan dari dropdown, makro isi sendiri</t>
  </si>
  <si>
    <t xml:space="preserve">MONDAY  ·  ISNIN</t>
  </si>
  <si>
    <t xml:space="preserve">Meal</t>
  </si>
  <si>
    <t xml:space="preserve">Time</t>
  </si>
  <si>
    <t xml:space="preserve">Food Item</t>
  </si>
  <si>
    <t xml:space="preserve">Servings (×)</t>
  </si>
  <si>
    <t xml:space="preserve">Carbs (g)</t>
  </si>
  <si>
    <t xml:space="preserve">Fat (g)</t>
  </si>
  <si>
    <t xml:space="preserve">Fibre (g)</t>
  </si>
  <si>
    <t xml:space="preserve">Breakfast / Sarapan</t>
  </si>
  <si>
    <t xml:space="preserve">Mid-Morning Snack / Snek Pagi</t>
  </si>
  <si>
    <t xml:space="preserve">Lunch / Tengahari</t>
  </si>
  <si>
    <t xml:space="preserve">Afternoon Snack / Snek Petang</t>
  </si>
  <si>
    <t xml:space="preserve">Dinner / Malam</t>
  </si>
  <si>
    <t xml:space="preserve">Evening (optional) / Malam (pilihan)</t>
  </si>
  <si>
    <t xml:space="preserve">DAILY TOTALS</t>
  </si>
  <si>
    <t xml:space="preserve">TARGET</t>
  </si>
  <si>
    <t xml:space="preserve">VARIANCE (%)</t>
  </si>
  <si>
    <t xml:space="preserve">TUESDAY  ·  SELASA</t>
  </si>
  <si>
    <t xml:space="preserve">WEDNESDAY  ·  RABU</t>
  </si>
  <si>
    <t xml:space="preserve">THURSDAY  ·  KHAMIS</t>
  </si>
  <si>
    <t xml:space="preserve">FRIDAY  ·  JUMAAT</t>
  </si>
  <si>
    <t xml:space="preserve">SATURDAY  ·  SABTU</t>
  </si>
  <si>
    <t xml:space="preserve">SUNDAY  ·  AHAD</t>
  </si>
  <si>
    <t xml:space="preserve">COMPREHENSIVE FOOD DATABASE — MACRONUTRIENT REFERENCE</t>
  </si>
  <si>
    <t xml:space="preserve">All values per standard serving. Weigh food raw for maximum accuracy. Database validated against Malaysian Food Composition Tables &amp; USDA SR Legacy.</t>
  </si>
  <si>
    <t xml:space="preserve">Category</t>
  </si>
  <si>
    <t xml:space="preserve">Serving Size</t>
  </si>
  <si>
    <t xml:space="preserve">Glycemic Load</t>
  </si>
  <si>
    <t xml:space="preserve">SALMON &amp; FISH</t>
  </si>
  <si>
    <t xml:space="preserve">Atlantic Salmon, raw</t>
  </si>
  <si>
    <t xml:space="preserve">150g fillet</t>
  </si>
  <si>
    <t xml:space="preserve">Rich in EPA/DHA (~1.5g/150g). Grill/bake/steam preferred.</t>
  </si>
  <si>
    <t xml:space="preserve">Salmon, canned in water</t>
  </si>
  <si>
    <t xml:space="preserve">1 tin (150g drained)</t>
  </si>
  <si>
    <t xml:space="preserve">Emergency protein. Drain thoroughly.</t>
  </si>
  <si>
    <t xml:space="preserve">Salmon Head Curry (light santan)</t>
  </si>
  <si>
    <t xml:space="preserve">1 serving (~300g)</t>
  </si>
  <si>
    <t xml:space="preserve">Cheapest cut. Request less santan at stall.</t>
  </si>
  <si>
    <t xml:space="preserve">Ikan Kembung, grilled</t>
  </si>
  <si>
    <t xml:space="preserve">1 fish (~150g)</t>
  </si>
  <si>
    <t xml:space="preserve">High omega-3. RM3–5 per fish at pasar.</t>
  </si>
  <si>
    <t xml:space="preserve">Ikan Siakap, steamed</t>
  </si>
  <si>
    <t xml:space="preserve">Lean white fish. Steam with ginger &amp; soy.</t>
  </si>
  <si>
    <t xml:space="preserve">Sardines in tomato sauce</t>
  </si>
  <si>
    <t xml:space="preserve">1 tin (150g)</t>
  </si>
  <si>
    <t xml:space="preserve">Calcium from edible bones. Budget-friendly.</t>
  </si>
  <si>
    <t xml:space="preserve">POULTRY</t>
  </si>
  <si>
    <t xml:space="preserve">Chicken Breast, skinless, raw</t>
  </si>
  <si>
    <t xml:space="preserve">150g</t>
  </si>
  <si>
    <t xml:space="preserve">Highest protein-to-kcal ratio. Marinate overnight.</t>
  </si>
  <si>
    <t xml:space="preserve">Chicken Breast, grilled</t>
  </si>
  <si>
    <t xml:space="preserve">Post-cooking weight ~20% less than raw.</t>
  </si>
  <si>
    <t xml:space="preserve">Ayam Percik, grilled, skin removed</t>
  </si>
  <si>
    <t xml:space="preserve">1 piece (~150g)</t>
  </si>
  <si>
    <t xml:space="preserve">Remove skin = save ~80 kcal.</t>
  </si>
  <si>
    <t xml:space="preserve">Chicken Thigh, skinless, raw</t>
  </si>
  <si>
    <t xml:space="preserve">More flavour than breast; slightly higher fat.</t>
  </si>
  <si>
    <t xml:space="preserve">Whole Egg, boiled</t>
  </si>
  <si>
    <t xml:space="preserve">1 large (50g)</t>
  </si>
  <si>
    <t xml:space="preserve">Boil 6 on Sunday. Store peeled in fridge.</t>
  </si>
  <si>
    <t xml:space="preserve">Egg White only</t>
  </si>
  <si>
    <t xml:space="preserve">1 large (33g)</t>
  </si>
  <si>
    <t xml:space="preserve">Pure protein. Use with 1 whole egg for balance.</t>
  </si>
  <si>
    <t xml:space="preserve">PLANT PROTEIN</t>
  </si>
  <si>
    <t xml:space="preserve">Tempeh, fried (minimal oil)</t>
  </si>
  <si>
    <t xml:space="preserve">80g</t>
  </si>
  <si>
    <t xml:space="preserve">Air-fry for crunch without oil bath.</t>
  </si>
  <si>
    <t xml:space="preserve">Tempeh, steamed</t>
  </si>
  <si>
    <t xml:space="preserve">Lower fat option. Season with kicap &amp; cili.</t>
  </si>
  <si>
    <t xml:space="preserve">Firm Tofu, baked/grilled</t>
  </si>
  <si>
    <t xml:space="preserve">100g</t>
  </si>
  <si>
    <t xml:space="preserve">Most affordable protein per ringgit.</t>
  </si>
  <si>
    <t xml:space="preserve">Greek Yogurt, plain, low-fat</t>
  </si>
  <si>
    <t xml:space="preserve">Probiotic benefits. Check label: live cultures.</t>
  </si>
  <si>
    <t xml:space="preserve">Cottage Cheese, low-fat</t>
  </si>
  <si>
    <t xml:space="preserve">Casein protein; slow-digesting. Good before bed.</t>
  </si>
  <si>
    <t xml:space="preserve">Edamame, boiled</t>
  </si>
  <si>
    <t xml:space="preserve">Complete plant protein. Steam 5 min.</t>
  </si>
  <si>
    <t xml:space="preserve">CARBOHYDRATES</t>
  </si>
  <si>
    <t xml:space="preserve">Brown Rice, cooked</t>
  </si>
  <si>
    <t xml:space="preserve">1 cup (~195g)</t>
  </si>
  <si>
    <t xml:space="preserve">2x fibre of white rice. Satiety index higher.</t>
  </si>
  <si>
    <t xml:space="preserve">White Rice, cooked</t>
  </si>
  <si>
    <t xml:space="preserve">Acceptable post-workout. Measure 1 scoop, not mountain.</t>
  </si>
  <si>
    <t xml:space="preserve">Basmati Rice, cooked</t>
  </si>
  <si>
    <t xml:space="preserve">Lower GI than standard white rice.</t>
  </si>
  <si>
    <t xml:space="preserve">Oats, rolled, dry</t>
  </si>
  <si>
    <t xml:space="preserve">40g</t>
  </si>
  <si>
    <t xml:space="preserve">Beta-glucan fibre lowers LDL cholesterol.</t>
  </si>
  <si>
    <t xml:space="preserve">Wholemeal Bread</t>
  </si>
  <si>
    <t xml:space="preserve">2 slices (60g)</t>
  </si>
  <si>
    <t xml:space="preserve">Check label: whole wheat flour as 1st ingredient.</t>
  </si>
  <si>
    <t xml:space="preserve">Sweet Potato, boiled</t>
  </si>
  <si>
    <t xml:space="preserve">Low GI. Excellent pre-workout carbohydrate.</t>
  </si>
  <si>
    <t xml:space="preserve">Quinoa, cooked</t>
  </si>
  <si>
    <t xml:space="preserve">1 cup (~185g)</t>
  </si>
  <si>
    <t xml:space="preserve">Complete amino acid profile. Available at Giant.</t>
  </si>
  <si>
    <t xml:space="preserve">Roti Canai, plain</t>
  </si>
  <si>
    <t xml:space="preserve">1 piece</t>
  </si>
  <si>
    <t xml:space="preserve">High energy density. Reserve for treat meals.</t>
  </si>
  <si>
    <t xml:space="preserve">Thosai, plain</t>
  </si>
  <si>
    <t xml:space="preserve">Fermented batter. Lower fat than roti canai.</t>
  </si>
  <si>
    <t xml:space="preserve">Nasi Lemak, standard</t>
  </si>
  <si>
    <t xml:space="preserve">1 packet</t>
  </si>
  <si>
    <t xml:space="preserve">Request extra timun, less rice, no peanuts.</t>
  </si>
  <si>
    <t xml:space="preserve">Nasi Lemak, ayam goreng</t>
  </si>
  <si>
    <t xml:space="preserve">1 serving</t>
  </si>
  <si>
    <t xml:space="preserve">High energy. Share or reserve for weekly treat.</t>
  </si>
  <si>
    <t xml:space="preserve">VEGETABLES</t>
  </si>
  <si>
    <t xml:space="preserve">Mixed Vegetables, steamed</t>
  </si>
  <si>
    <t xml:space="preserve">1 cup (~150g)</t>
  </si>
  <si>
    <t xml:space="preserve">Fill 50% of plate. Unlimited volume, minimal kcal.</t>
  </si>
  <si>
    <t xml:space="preserve">Broccoli, steamed</t>
  </si>
  <si>
    <t xml:space="preserve">Sulforaphane content. Blanch 2 min only.</t>
  </si>
  <si>
    <t xml:space="preserve">Spinach, stir-fried (minimal oil)</t>
  </si>
  <si>
    <t xml:space="preserve">High iron &amp; folate. Use 1 tsp oil max.</t>
  </si>
  <si>
    <t xml:space="preserve">Kangkung, stir-fried (minimal oil)</t>
  </si>
  <si>
    <t xml:space="preserve">Request 'kurang minyak' at stall.</t>
  </si>
  <si>
    <t xml:space="preserve">Ulam (raw herbs/veg)</t>
  </si>
  <si>
    <t xml:space="preserve">1 plate (~100g)</t>
  </si>
  <si>
    <t xml:space="preserve">Free food. Eat unlimited with sambal belacan.</t>
  </si>
  <si>
    <t xml:space="preserve">Cucumber &amp; Tomato</t>
  </si>
  <si>
    <t xml:space="preserve">1 cup</t>
  </si>
  <si>
    <t xml:space="preserve">Hydrating, crunchy. Best plate-filler.</t>
  </si>
  <si>
    <t xml:space="preserve">Salad Greens + Lemon</t>
  </si>
  <si>
    <t xml:space="preserve">1 bowl (~150g)</t>
  </si>
  <si>
    <t xml:space="preserve">Skip creamy dressing = save 150+ kcal.</t>
  </si>
  <si>
    <t xml:space="preserve">Carrot, steamed</t>
  </si>
  <si>
    <t xml:space="preserve">Beta-carotene. Gentle sweetness.</t>
  </si>
  <si>
    <t xml:space="preserve">FRUITS</t>
  </si>
  <si>
    <t xml:space="preserve">Apple, with skin</t>
  </si>
  <si>
    <t xml:space="preserve">1 medium (180g)</t>
  </si>
  <si>
    <t xml:space="preserve">Pectin fibre. Crunch satisfies oral fixation.</t>
  </si>
  <si>
    <t xml:space="preserve">Banana</t>
  </si>
  <si>
    <t xml:space="preserve">1 medium (120g)</t>
  </si>
  <si>
    <t xml:space="preserve">Pre-workout fuel. Potassium for blood pressure.</t>
  </si>
  <si>
    <t xml:space="preserve">Papaya</t>
  </si>
  <si>
    <t xml:space="preserve">1 cup (140g)</t>
  </si>
  <si>
    <t xml:space="preserve">Papain enzyme aids digestion. Cheap at pasar.</t>
  </si>
  <si>
    <t xml:space="preserve">Watermelon</t>
  </si>
  <si>
    <t xml:space="preserve">1 cup (150g)</t>
  </si>
  <si>
    <t xml:space="preserve">92% water. Hydration + sweetness.</t>
  </si>
  <si>
    <t xml:space="preserve">Avocado</t>
  </si>
  <si>
    <t xml:space="preserve">½ fruit (75g)</t>
  </si>
  <si>
    <t xml:space="preserve">Monounsaturated fat. Satiety champion.</t>
  </si>
  <si>
    <t xml:space="preserve">Berries (mixed)</t>
  </si>
  <si>
    <t xml:space="preserve">Anthocyanins. Antioxidant-dense.</t>
  </si>
  <si>
    <t xml:space="preserve">Guava</t>
  </si>
  <si>
    <t xml:space="preserve">1 medium (150g)</t>
  </si>
  <si>
    <t xml:space="preserve">Highest vitamin C of common fruits.</t>
  </si>
  <si>
    <t xml:space="preserve">Orange</t>
  </si>
  <si>
    <t xml:space="preserve">1 medium (130g)</t>
  </si>
  <si>
    <t xml:space="preserve">Hesperidin flavonoid. Whole fruit &gt; juice.</t>
  </si>
  <si>
    <t xml:space="preserve">NUTS &amp; SEEDS</t>
  </si>
  <si>
    <t xml:space="preserve">Almonds, raw</t>
  </si>
  <si>
    <t xml:space="preserve">15 pieces (15g)</t>
  </si>
  <si>
    <t xml:space="preserve">Count portions. The bag is calorically dense.</t>
  </si>
  <si>
    <t xml:space="preserve">Walnuts</t>
  </si>
  <si>
    <t xml:space="preserve">15g</t>
  </si>
  <si>
    <t xml:space="preserve">ALA omega-3. Best nut for brain health.</t>
  </si>
  <si>
    <t xml:space="preserve">Chia Seeds</t>
  </si>
  <si>
    <t xml:space="preserve">Soak in water 10 min before consuming.</t>
  </si>
  <si>
    <t xml:space="preserve">Pumpkin Seeds</t>
  </si>
  <si>
    <t xml:space="preserve">Zinc &amp; magnesium. Good evening snack.</t>
  </si>
  <si>
    <t xml:space="preserve">BEVERAGES</t>
  </si>
  <si>
    <t xml:space="preserve">Water</t>
  </si>
  <si>
    <t xml:space="preserve">250ml</t>
  </si>
  <si>
    <t xml:space="preserve">Primary hydration source. Target 8–10 glasses.</t>
  </si>
  <si>
    <t xml:space="preserve">Black Coffee, no sugar</t>
  </si>
  <si>
    <t xml:space="preserve">1 cup (240ml)</t>
  </si>
  <si>
    <t xml:space="preserve">Caffeine: 95mg. Appetite suppressant. Limit to 3 cups.</t>
  </si>
  <si>
    <t xml:space="preserve">Teh O Kosong</t>
  </si>
  <si>
    <t xml:space="preserve">Polyphenols. Zero energy.</t>
  </si>
  <si>
    <t xml:space="preserve">Skim Milk</t>
  </si>
  <si>
    <t xml:space="preserve">Sneaky protein. Add to oats or coffee.</t>
  </si>
  <si>
    <t xml:space="preserve">Teh Tarik, standard</t>
  </si>
  <si>
    <t xml:space="preserve">1 cup (300ml)</t>
  </si>
  <si>
    <t xml:space="preserve">Condensed milk = hidden sugars. 25 min walk to burn.</t>
  </si>
  <si>
    <t xml:space="preserve">Teh Tarik, kurang manis</t>
  </si>
  <si>
    <t xml:space="preserve">50 kcal saved vs standard. Progress, not perfection.</t>
  </si>
  <si>
    <t xml:space="preserve">Milo Ais</t>
  </si>
  <si>
    <t xml:space="preserve">Condensed milk + malt = high energy. Occasional only.</t>
  </si>
  <si>
    <t xml:space="preserve">Green Tea, unsweetened</t>
  </si>
  <si>
    <t xml:space="preserve">EGCG catechins. Metabolic support.</t>
  </si>
  <si>
    <t xml:space="preserve">MAMAK / STREET FOOD</t>
  </si>
  <si>
    <t xml:space="preserve">Roti Canai, telur</t>
  </si>
  <si>
    <t xml:space="preserve">Protein upgrade from plain. Still energy-dense.</t>
  </si>
  <si>
    <t xml:space="preserve">Mee Goreng Mamak</t>
  </si>
  <si>
    <t xml:space="preserve">1 plate</t>
  </si>
  <si>
    <t xml:space="preserve">Very high energy. Share or halve portion.</t>
  </si>
  <si>
    <t xml:space="preserve">Char Kuey Teow</t>
  </si>
  <si>
    <t xml:space="preserve">Highest energy plate. Reserve for rare treat.</t>
  </si>
  <si>
    <t xml:space="preserve">Nasi Ayam, steamed, no skin</t>
  </si>
  <si>
    <t xml:space="preserve">Request 'nasi sikit'. Chilli sauce is free.</t>
  </si>
  <si>
    <t xml:space="preserve">Laksa Asam</t>
  </si>
  <si>
    <t xml:space="preserve">1 bowl</t>
  </si>
  <si>
    <t xml:space="preserve">Soup-based = lower energy than fried noodles.</t>
  </si>
  <si>
    <t xml:space="preserve">Maggi Goreng</t>
  </si>
  <si>
    <t xml:space="preserve">Late-night trap. Substitute with Sup Maggi (250 kcal).</t>
  </si>
  <si>
    <t xml:space="preserve">Sup Ayam / Sup Tulang</t>
  </si>
  <si>
    <t xml:space="preserve">Best mamak choice for fat loss. Warm, filling, low kcal.</t>
  </si>
  <si>
    <t xml:space="preserve">Thosai Masala</t>
  </si>
  <si>
    <t xml:space="preserve">Potato filling adds energy. Plain thosai preferred.</t>
  </si>
  <si>
    <t xml:space="preserve">TREATS &amp; FLEXIBLE FOODS</t>
  </si>
  <si>
    <t xml:space="preserve">Dark Chocolate, 70%+</t>
  </si>
  <si>
    <t xml:space="preserve">2 squares (20g)</t>
  </si>
  <si>
    <t xml:space="preserve">Flavanols. Slow, mindful consumption.</t>
  </si>
  <si>
    <t xml:space="preserve">Ice Cream, standard</t>
  </si>
  <si>
    <t xml:space="preserve">1 scoop (80g)</t>
  </si>
  <si>
    <t xml:space="preserve">Cup, not cone. Sit down and savour.</t>
  </si>
  <si>
    <t xml:space="preserve">Kuih-muih (mixed)</t>
  </si>
  <si>
    <t xml:space="preserve">2 pieces</t>
  </si>
  <si>
    <t xml:space="preserve">Coconut + sugar dense. Once weekly acceptable.</t>
  </si>
  <si>
    <t xml:space="preserve">Cendol, reduced sugar</t>
  </si>
  <si>
    <t xml:space="preserve">Request 'kurang gula, kurang santan'.</t>
  </si>
  <si>
    <t xml:space="preserve">NOTE: Use this database to populate your Weekly Meal Schedule. For foods not listed, reference the Malaysian Food Composition Database (MFCDB) or USDA FoodData Central. Always prioritise whole, minimally processed foods.</t>
  </si>
  <si>
    <t xml:space="preserve">RECIPE COLLECTION — STRUCTURED MEAL PREPARATION</t>
  </si>
  <si>
    <t xml:space="preserve">All recipes designed for ≤20 min active time. Macros calculated per serving. Ingredients available at Giant Setiawangsa or Pasar Keramat.</t>
  </si>
  <si>
    <t xml:space="preserve">SAMBAL SALMON BAKAR  |  15 min  |  350 kcal  |  P:33g  C:8g  F:18g  Fibre:2g</t>
  </si>
  <si>
    <t xml:space="preserve">INGREDIENTS: 150g salmon fillet | 1 tbsp sambal tumis | ½ tsp turmeric powder | ¼ tsp sea salt | 1 limau kasturi | 1 cup ulam (served)</t>
  </si>
  <si>
    <t xml:space="preserve">1. Pat salmon dry with paper towel. Rub turmeric and salt evenly.
2. Spread sambal tumis on flesh side.
3. Air-fry at 200°C for 12 min or oven-bake 200°C for 14 min.
4. Rest 2 min. Squeeze limau kasturi over top.
5. Serve with 1 cup steamed ulam and ½ cup brown rice.</t>
  </si>
  <si>
    <t xml:space="preserve">CHEF'S NOTE: Grill, don't fry. Frozen Norwegian fillet is 30–40% cheaper than fresh and nutritionally equivalent.</t>
  </si>
  <si>
    <t xml:space="preserve">LEMON BUTTER PAN-SEARED SALMON  |  12 min  |  330 kcal  |  P:33g  C:2g  F:20g  Fibre:0g</t>
  </si>
  <si>
    <t xml:space="preserve">INGREDIENTS: 150g salmon fillet | 1 tsp unsalted butter | 1 clove garlic, minced | ½ lemon (juice) | Black pepper | Parsley (optional)</t>
  </si>
  <si>
    <t xml:space="preserve">1. Pat salmon completely dry — this is critical for crispy skin.
2. Heat pan on medium-high. Place salmon skin-side down. Do not move for 5 min.
3. Flip carefully. Cook 3 min on flesh side.
4. Remove from heat. Add butter, garlic, lemon juice to pan. Swirl 30 seconds.
5. Pour over salmon. Season with black pepper.</t>
  </si>
  <si>
    <t xml:space="preserve">CHEF'S NOTE: Crispy skin trick: the drier the surface, the better the Maillard reaction. Use a heavy-bottomed pan.</t>
  </si>
  <si>
    <t xml:space="preserve">SETIAWANGSA SUNSHINE BOWL  |  10 min  |  380 kcal  |  P:35g  C:28g  F:16g  Fibre:8g</t>
  </si>
  <si>
    <t xml:space="preserve">INGREDIENTS: 100g mixed salad greens | 100g cucumber, sliced | 100g cherry tomatoes | 150g salmon (flaked, fresh or canned) | ½ avocado | 1 tbsp olive oil | 1 tbsp lemon juice | Pinch sea salt</t>
  </si>
  <si>
    <t xml:space="preserve">1. Arrange greens, cucumber, and tomatoes as base in a bowl.
2. Flake salmon over the top. Add avocado slices.
3. Whisk olive oil, lemon juice, and salt. Drizzle over bowl.
4. Optional: add chilli flakes or black pepper.</t>
  </si>
  <si>
    <t xml:space="preserve">CHEF'S NOTE: Batch-prepare 2 bowls at night → lunch for tomorrow ready. Store dressing separately until serving.</t>
  </si>
  <si>
    <t xml:space="preserve">SALMON NASI GORENG RINGAN  |  15 min  |  450 kcal  |  P:30g  C:52g  F:14g  Fibre:5g</t>
  </si>
  <si>
    <t xml:space="preserve">INGREDIENTS: 150g cooked brown rice (cold, day-old) | 150g salmon, flaked | 1 tsp cooking oil | 2 cloves garlic, minced | 1 red chilli, sliced | 1 egg | 1 cup mixed vegetables (carrot, peas, corn) | 1 tbsp kicap cair | White pepper</t>
  </si>
  <si>
    <t xml:space="preserve">1. Heat oil in wok on high heat. Fry garlic and chilli 30 seconds.
2. Add salmon. Break into flakes. Cook 1 min.
3. Add cold rice. Stir-fry 3 min, breaking clumps.
4. Push rice to side. Crack egg into empty space. Scramble quickly.
5. Add vegetables, kicap, and pepper. Toss 2 min. Serve immediately.</t>
  </si>
  <si>
    <t xml:space="preserve">CHEF'S NOTE: Cold rice = lower glycemic index + less sticky. Day-old rice is ideal for fried rice texture. Use only 1 tsp oil.</t>
  </si>
  <si>
    <t xml:space="preserve">STEAMED GINGER-SOY SALMON  |  12 min  |  300 kcal  |  P:33g  C:3g  F:16g  Fibre:0g</t>
  </si>
  <si>
    <t xml:space="preserve">INGREDIENTS: 150g salmon fillet | 2cm ginger, julienned | 1 stalk spring onion, sliced | 1 tbsp light soy sauce | ½ tsp sesame oil | 1 tbsp water</t>
  </si>
  <si>
    <t xml:space="preserve">1. Place salmon on heatproof plate. Scatter ginger and spring onion on top.
2. Steam over boiling water for 8 minutes (covered).
3. Mix soy sauce, sesame oil, and water.
4. Pour sauce over steamed salmon. Garnish with extra spring onion.</t>
  </si>
  <si>
    <t xml:space="preserve">CHEF'S NOTE: Zero added oil cooking method. The lightest dinner option in this collection. Pair with large portion of steamed vegetables.</t>
  </si>
  <si>
    <t xml:space="preserve">SALMON AVOCADO TOAST  |  5 min  |  340 kcal  |  P:25g  C:30g  F:14g  Fibre:6g</t>
  </si>
  <si>
    <t xml:space="preserve">INGREDIENTS: 2 slices wholemeal bread | ½ avocado | 1 tin canned salmon (150g, drained) | 1 tsp lemon juice | Black pepper | Chilli flakes (optional)</t>
  </si>
  <si>
    <t xml:space="preserve">1. Toast bread until golden and crisp.
2. Mash avocado with lemon juice and pepper. Spread on toast.
3. Top with flaked canned salmon.
4. Add chilli flakes if desired. Serve immediately.</t>
  </si>
  <si>
    <t xml:space="preserve">CHEF'S NOTE: The 'emergency breakfast' — keep a tin of salmon and avocado in stock. Under 5 minutes from fridge to plate.</t>
  </si>
  <si>
    <t xml:space="preserve">SALMON HEAD SUP — BUDGET OPTION  |  45 min  |  280 kcal  |  P:25g  C:12g  F:14g  Fibre:2g</t>
  </si>
  <si>
    <t xml:space="preserve">INGREDIENTS: 1 salmon head (approx. 400g) | 1L water | 3cm ginger, sliced | 2 cloves garlic | 1 tomato, quartered | 1 stalk spring onion | 1 tbsp light soy | White pepper | 1 cup bok choy</t>
  </si>
  <si>
    <t xml:space="preserve">1. Clean salmon head thoroughly. Remove gills.
2. Boil water with ginger and garlic.
3. Add salmon head. Simmer 25 min. Skim foam from surface.
4. Add tomato and bok choy. Cook 5 min.
5. Season with soy and pepper. Garnish with spring onion.</t>
  </si>
  <si>
    <t xml:space="preserve">CHEF'S NOTE: Cheapest salmon cut at the wet market. Rich in collagen from the head. The broth itself is nutrient-dense and filling.</t>
  </si>
  <si>
    <t xml:space="preserve">SALMON PROCUREMENT &amp; STORAGE GUIDE</t>
  </si>
  <si>
    <t xml:space="preserve">• PORTION SIZE: 150g raw salmon ≈ the size and thickness of your palm. This yields ~33g protein and 310 kcal.</t>
  </si>
  <si>
    <t xml:space="preserve">• FROZEN VS FRESH: Frozen Norwegian fillets retain equivalent omega-3 content to fresh. Defrost overnight in refrigerator, never at room temperature.</t>
  </si>
  <si>
    <t xml:space="preserve">• BULK BUYING: Purchase a whole salmon side (approx. 800g–1.2kg). Portion into 150g pieces. Wrap tightly in cling film, then foil. Freeze flat. Cost per meal drops 30–40%.</t>
  </si>
  <si>
    <t xml:space="preserve">• CANNED SALMON: Shelf-stable, budget-friendly (~RM8/tin). Choose 'in water' not 'in oil'. Drain thoroughly. Check for skin and bones (edible calcium source) or boneless fillets.</t>
  </si>
  <si>
    <t xml:space="preserve">• COOKING METHODS: Never boil salmon — it leaches fat-soluble nutrients and produces dry texture. Valid methods: grilling, baking (200°C), steaming (8–10 min), pan-searing (medium-high, skin-side down first).</t>
  </si>
  <si>
    <t xml:space="preserve">• STORAGE: Fresh salmon — use within 24 hours of purchase. Cooked salmon — refrigerate up to 48 hours. Frozen salmon — use within 3 months for optimal quality.</t>
  </si>
  <si>
    <t xml:space="preserve">BODY COMPOSITION &amp; PROGRESS MONITORING</t>
  </si>
  <si>
    <t xml:space="preserve">Weigh once weekly. Same day, same time, same conditions. Track trends, not single data points. Body weight fluctuates 1–3% daily due to hydration, sodium, and glycogen.</t>
  </si>
  <si>
    <t xml:space="preserve">WEEKLY WEIGHT &amp; BODY COMPOSITION LOG</t>
  </si>
  <si>
    <t xml:space="preserve">ANTHROPOMETRIC MEASUREMENTS</t>
  </si>
  <si>
    <t xml:space="preserve">Date</t>
  </si>
  <si>
    <t xml:space="preserve">7-Day Avg (kg)</t>
  </si>
  <si>
    <t xml:space="preserve">Change (kg)</t>
  </si>
  <si>
    <t xml:space="preserve">Change (%)</t>
  </si>
  <si>
    <t xml:space="preserve">Waist (cm)</t>
  </si>
  <si>
    <t xml:space="preserve">Hip (cm)</t>
  </si>
  <si>
    <t xml:space="preserve">W1</t>
  </si>
  <si>
    <t xml:space="preserve">W2</t>
  </si>
  <si>
    <t xml:space="preserve">W3</t>
  </si>
  <si>
    <t xml:space="preserve">W4</t>
  </si>
  <si>
    <t xml:space="preserve">W5</t>
  </si>
  <si>
    <t xml:space="preserve">W6</t>
  </si>
  <si>
    <t xml:space="preserve">W7</t>
  </si>
  <si>
    <t xml:space="preserve">W8</t>
  </si>
  <si>
    <t xml:space="preserve">W9</t>
  </si>
  <si>
    <t xml:space="preserve">W10</t>
  </si>
  <si>
    <t xml:space="preserve">W11</t>
  </si>
  <si>
    <t xml:space="preserve">W12</t>
  </si>
  <si>
    <t xml:space="preserve">DETAILED MEASUREMENTS (Monthly)</t>
  </si>
  <si>
    <t xml:space="preserve">NON-SCALE PERFORMANCE INDICATORS</t>
  </si>
  <si>
    <t xml:space="preserve">Measurement</t>
  </si>
  <si>
    <t xml:space="preserve">Baseline</t>
  </si>
  <si>
    <t xml:space="preserve">Clothing fit — ease of fastening, reduced tightness</t>
  </si>
  <si>
    <t xml:space="preserve">Chest (cm)</t>
  </si>
  <si>
    <t xml:space="preserve">Stair climbing endurance — breathlessness reduction</t>
  </si>
  <si>
    <t xml:space="preserve">Mid-arm, relaxed (cm)</t>
  </si>
  <si>
    <t xml:space="preserve">Sleep quality — onset latency, nocturnal awakenings</t>
  </si>
  <si>
    <t xml:space="preserve">Mid-arm, flexed (cm)</t>
  </si>
  <si>
    <t xml:space="preserve">Skin condition — clarity, hydration, reduced inflammation</t>
  </si>
  <si>
    <t xml:space="preserve">Waist, narrowest (cm)</t>
  </si>
  <si>
    <t xml:space="preserve">Sustained energy — afternoon fatigue reduction</t>
  </si>
  <si>
    <t xml:space="preserve">Waist, navel level (cm)</t>
  </si>
  <si>
    <t xml:space="preserve">Sugar craving frequency — intensity and occurrence</t>
  </si>
  <si>
    <t xml:space="preserve">Hips, widest (cm)</t>
  </si>
  <si>
    <t xml:space="preserve">Digestive regularity — bloating reduction, transit time</t>
  </si>
  <si>
    <t xml:space="preserve">Mid-thigh (cm)</t>
  </si>
  <si>
    <t xml:space="preserve">Mood stability — irritability, anxiety, general wellbeing</t>
  </si>
  <si>
    <t xml:space="preserve">Calf (cm)</t>
  </si>
  <si>
    <t xml:space="preserve">Physical performance — walking pace, exercise capacity</t>
  </si>
  <si>
    <t xml:space="preserve">Body Fat % (caliper/scale)</t>
  </si>
  <si>
    <t xml:space="preserve">Recovery rate — post-exercise soreness duration</t>
  </si>
  <si>
    <t xml:space="preserve">Resting Heart Rate (bpm)</t>
  </si>
  <si>
    <t xml:space="preserve">PROGRESS PHOTOGRAPHY LOG</t>
  </si>
  <si>
    <t xml:space="preserve">Front View</t>
  </si>
  <si>
    <t xml:space="preserve">Side View</t>
  </si>
  <si>
    <t xml:space="preserve">Back View</t>
  </si>
  <si>
    <t xml:space="preserve">Lighting</t>
  </si>
  <si>
    <t xml:space="preserve">Week 13</t>
  </si>
  <si>
    <t xml:space="preserve">PHOTO PROTOCOL: Same location, same lighting (natural front-facing), same clothing (fitted, minimal), same time of day. Take front, side (dominant), and back views. Do not rely on mirror selfies — use timer or assistance.</t>
  </si>
  <si>
    <t xml:space="preserve">PROCUREMENT &amp; MEAL PREPARATION SYSTEM</t>
  </si>
  <si>
    <t xml:space="preserve">Strategic sourcing within Setiawangsa area. Batch preparation reduces decision fatigue and improves adherence by 40–60% (Arshad et al., 2022).</t>
  </si>
  <si>
    <t xml:space="preserve">VENDOR DIRECTORY — SETIAWANGSA AREA</t>
  </si>
  <si>
    <t xml:space="preserve">WEEKLY PROCUREMENT CHECKLIST</t>
  </si>
  <si>
    <t xml:space="preserve">Vendor</t>
  </si>
  <si>
    <t xml:space="preserve">Operating Hours</t>
  </si>
  <si>
    <t xml:space="preserve">Location</t>
  </si>
  <si>
    <t xml:space="preserve">Primary Strengths</t>
  </si>
  <si>
    <t xml:space="preserve">Item</t>
  </si>
  <si>
    <t xml:space="preserve">Qty</t>
  </si>
  <si>
    <t xml:space="preserve">Est. Cost (RM)</t>
  </si>
  <si>
    <t xml:space="preserve">Priority</t>
  </si>
  <si>
    <t xml:space="preserve">ST Rosyam Mart Setiawangsa</t>
  </si>
  <si>
    <t xml:space="preserve">24 hours</t>
  </si>
  <si>
    <t xml:space="preserve">Jln Setiawangsa 8</t>
  </si>
  <si>
    <t xml:space="preserve">Late-night availability. Basic pantry staples.</t>
  </si>
  <si>
    <t xml:space="preserve">PROTEIN</t>
  </si>
  <si>
    <t xml:space="preserve">Salmon fillet, frozen, Norwegian</t>
  </si>
  <si>
    <t xml:space="preserve">6 portions (900g)</t>
  </si>
  <si>
    <t xml:space="preserve">Giant / AEON</t>
  </si>
  <si>
    <t xml:space="preserve">ESSENTIAL</t>
  </si>
  <si>
    <t xml:space="preserve">Giant Setiawangsa</t>
  </si>
  <si>
    <t xml:space="preserve">7am–10pm</t>
  </si>
  <si>
    <t xml:space="preserve">Best value frozen salmon, brown rice, oats, bulk items.</t>
  </si>
  <si>
    <t xml:space="preserve">Canned salmon in water</t>
  </si>
  <si>
    <t xml:space="preserve">2 tins</t>
  </si>
  <si>
    <t xml:space="preserve">16</t>
  </si>
  <si>
    <t xml:space="preserve">Giant</t>
  </si>
  <si>
    <t xml:space="preserve">AEON AU2 Setiawangsa</t>
  </si>
  <si>
    <t xml:space="preserve">10am–10pm</t>
  </si>
  <si>
    <t xml:space="preserve">AEON Mall AU2</t>
  </si>
  <si>
    <t xml:space="preserve">Superior fresh fish counter. Request custom salmon portions.</t>
  </si>
  <si>
    <t xml:space="preserve">Chicken breast, skinless</t>
  </si>
  <si>
    <t xml:space="preserve">500g</t>
  </si>
  <si>
    <t xml:space="preserve">12</t>
  </si>
  <si>
    <t xml:space="preserve">Pasar Keramat</t>
  </si>
  <si>
    <t xml:space="preserve">Pasar Basah Dato Keramat</t>
  </si>
  <si>
    <t xml:space="preserve">5am–7pm</t>
  </si>
  <si>
    <t xml:space="preserve">Lrg Keramat Dalam 8</t>
  </si>
  <si>
    <t xml:space="preserve">Freshest produce &amp; fish. Lowest prices. Arrive before 9am.</t>
  </si>
  <si>
    <t xml:space="preserve">Whole eggs, grade A</t>
  </si>
  <si>
    <t xml:space="preserve">1 dozen</t>
  </si>
  <si>
    <t xml:space="preserve">8</t>
  </si>
  <si>
    <t xml:space="preserve">Any</t>
  </si>
  <si>
    <t xml:space="preserve">Pasar Tani AU1 Keramat</t>
  </si>
  <si>
    <t xml:space="preserve">Wed 8–11am ONLY</t>
  </si>
  <si>
    <t xml:space="preserve">Jln AU 1A/4A</t>
  </si>
  <si>
    <t xml:space="preserve">Cheapest ulam, herbs, and seasonal fruit. Wednesday exclusive.</t>
  </si>
  <si>
    <t xml:space="preserve">Tempeh</t>
  </si>
  <si>
    <t xml:space="preserve">2 blocks</t>
  </si>
  <si>
    <t xml:space="preserve">4</t>
  </si>
  <si>
    <t xml:space="preserve">Village Grocer Melawati</t>
  </si>
  <si>
    <t xml:space="preserve">Melawati Mall</t>
  </si>
  <si>
    <t xml:space="preserve">Premium Norwegian salmon, Greek yogurt, organic produce.</t>
  </si>
  <si>
    <t xml:space="preserve">Firm tofu</t>
  </si>
  <si>
    <t xml:space="preserve">1 pack (400g)</t>
  </si>
  <si>
    <t xml:space="preserve">3</t>
  </si>
  <si>
    <t xml:space="preserve">Mydin Wholesale</t>
  </si>
  <si>
    <t xml:space="preserve">9am–10pm</t>
  </si>
  <si>
    <t xml:space="preserve">AU3 Keramat</t>
  </si>
  <si>
    <t xml:space="preserve">Bulk dry goods at wholesale pricing. Rice, oats, spices.</t>
  </si>
  <si>
    <t xml:space="preserve">Greek yogurt, plain, low-fat</t>
  </si>
  <si>
    <t xml:space="preserve">1 tub (500g)</t>
  </si>
  <si>
    <t xml:space="preserve">Village Grocer / AEON</t>
  </si>
  <si>
    <t xml:space="preserve">Skim milk</t>
  </si>
  <si>
    <t xml:space="preserve">1L</t>
  </si>
  <si>
    <t xml:space="preserve">6</t>
  </si>
  <si>
    <t xml:space="preserve">RECOMMENDED</t>
  </si>
  <si>
    <t xml:space="preserve">CARBS</t>
  </si>
  <si>
    <t xml:space="preserve">Brown rice</t>
  </si>
  <si>
    <t xml:space="preserve">1kg</t>
  </si>
  <si>
    <t xml:space="preserve">Giant / Mydin</t>
  </si>
  <si>
    <t xml:space="preserve">BATCH PREPARATION SCHEDULE — SUNDAY PROTOCOL</t>
  </si>
  <si>
    <t xml:space="preserve">Rolled oats</t>
  </si>
  <si>
    <t xml:space="preserve">10</t>
  </si>
  <si>
    <t xml:space="preserve">Time Block</t>
  </si>
  <si>
    <t xml:space="preserve">Task</t>
  </si>
  <si>
    <t xml:space="preserve">Duration</t>
  </si>
  <si>
    <t xml:space="preserve">Storage</t>
  </si>
  <si>
    <t xml:space="preserve">Wholemeal bread</t>
  </si>
  <si>
    <t xml:space="preserve">1 loaf</t>
  </si>
  <si>
    <t xml:space="preserve">5</t>
  </si>
  <si>
    <t xml:space="preserve">08:00–08:30</t>
  </si>
  <si>
    <t xml:space="preserve">Defrost salmon portions (if frozen). Wash &amp; dry all vegetables.</t>
  </si>
  <si>
    <t xml:space="preserve">30 min</t>
  </si>
  <si>
    <t xml:space="preserve">—</t>
  </si>
  <si>
    <t xml:space="preserve">Sweet potatoes</t>
  </si>
  <si>
    <t xml:space="preserve">08:30–09:00</t>
  </si>
  <si>
    <t xml:space="preserve">Boil 6 eggs. Cook 3 cups brown rice (yields 6 portions).</t>
  </si>
  <si>
    <t xml:space="preserve">Eggs: fridge 7 days. Rice: fridge 3 days.</t>
  </si>
  <si>
    <t xml:space="preserve">Mixed salad greens</t>
  </si>
  <si>
    <t xml:space="preserve">2 bags</t>
  </si>
  <si>
    <t xml:space="preserve">AEON / Village Grocer</t>
  </si>
  <si>
    <t xml:space="preserve">09:00–09:45</t>
  </si>
  <si>
    <t xml:space="preserve">Marinate chicken breast (soy, ginger, garlic). Portion salmon into 150g bags.</t>
  </si>
  <si>
    <t xml:space="preserve">45 min</t>
  </si>
  <si>
    <t xml:space="preserve">Marinated chicken: fridge 24h. Salmon: freeze flat.</t>
  </si>
  <si>
    <t xml:space="preserve">Cucumber &amp; tomato</t>
  </si>
  <si>
    <t xml:space="preserve">1kg combined</t>
  </si>
  <si>
    <t xml:space="preserve">09:45–10:30</t>
  </si>
  <si>
    <t xml:space="preserve">Steam broccoli &amp; mixed vegetables. Blanch 2 min only.</t>
  </si>
  <si>
    <t xml:space="preserve">Fridge 4 days. Reheat by steaming.</t>
  </si>
  <si>
    <t xml:space="preserve">Broccoli</t>
  </si>
  <si>
    <t xml:space="preserve">10:30–11:00</t>
  </si>
  <si>
    <t xml:space="preserve">Wash &amp; spin salad greens. Store with paper towel in airtight container.</t>
  </si>
  <si>
    <t xml:space="preserve">Fridge 5 days. Paper towel absorbs moisture.</t>
  </si>
  <si>
    <t xml:space="preserve">Ulam pack (pegaga, pucuk paku, etc.)</t>
  </si>
  <si>
    <t xml:space="preserve">1 pack</t>
  </si>
  <si>
    <t xml:space="preserve">Pasar Tani</t>
  </si>
  <si>
    <t xml:space="preserve">11:00–11:30</t>
  </si>
  <si>
    <t xml:space="preserve">Prepare overnight oats (3 jars): 40g oats + 150g yogurt + fruit.</t>
  </si>
  <si>
    <t xml:space="preserve">Fridge 3 days. Grab-and-go breakfast.</t>
  </si>
  <si>
    <t xml:space="preserve">Ginger &amp; garlic</t>
  </si>
  <si>
    <t xml:space="preserve">200g each</t>
  </si>
  <si>
    <t xml:space="preserve">11:30–12:00</t>
  </si>
  <si>
    <t xml:space="preserve">Portion nuts &amp; snacks into small containers (15 almonds each).</t>
  </si>
  <si>
    <t xml:space="preserve">Room temp. Prevents overeating from bulk bags.</t>
  </si>
  <si>
    <t xml:space="preserve">Spring onion &amp; limau kasturi</t>
  </si>
  <si>
    <t xml:space="preserve">1 bunch / 10 pcs</t>
  </si>
  <si>
    <t xml:space="preserve">12:00–12:30</t>
  </si>
  <si>
    <t xml:space="preserve">Clean kitchen. Review Weekly Meal Schedule. Adjust based on social plans.</t>
  </si>
  <si>
    <t xml:space="preserve">FRUIT</t>
  </si>
  <si>
    <t xml:space="preserve">Apples</t>
  </si>
  <si>
    <t xml:space="preserve">5 pcs</t>
  </si>
  <si>
    <t xml:space="preserve">Bananas</t>
  </si>
  <si>
    <t xml:space="preserve">1 comb</t>
  </si>
  <si>
    <t xml:space="preserve">FOOD SAFETY &amp; STORAGE GUIDELINES</t>
  </si>
  <si>
    <t xml:space="preserve">Papaya or watermelon</t>
  </si>
  <si>
    <t xml:space="preserve">1 medium / ¼ fruit</t>
  </si>
  <si>
    <t xml:space="preserve">Refrigerator (4°C)</t>
  </si>
  <si>
    <t xml:space="preserve">Freezer (-18°C)</t>
  </si>
  <si>
    <t xml:space="preserve">Reheating Method</t>
  </si>
  <si>
    <t xml:space="preserve">2 pcs</t>
  </si>
  <si>
    <t xml:space="preserve">Village Grocer</t>
  </si>
  <si>
    <t xml:space="preserve">Cooked salmon</t>
  </si>
  <si>
    <t xml:space="preserve">48 hours</t>
  </si>
  <si>
    <t xml:space="preserve">2 months</t>
  </si>
  <si>
    <t xml:space="preserve">Steam 5 min or microwave 60 sec covered</t>
  </si>
  <si>
    <t xml:space="preserve">PANTRY</t>
  </si>
  <si>
    <t xml:space="preserve">200g</t>
  </si>
  <si>
    <t xml:space="preserve">Cooked chicken</t>
  </si>
  <si>
    <t xml:space="preserve">3 months</t>
  </si>
  <si>
    <t xml:space="preserve">Oven 180°C 10 min or pan with splash of water</t>
  </si>
  <si>
    <t xml:space="preserve">Sambal tumis (bottled)</t>
  </si>
  <si>
    <t xml:space="preserve">1 jar</t>
  </si>
  <si>
    <t xml:space="preserve">Boiled eggs</t>
  </si>
  <si>
    <t xml:space="preserve">7 days</t>
  </si>
  <si>
    <t xml:space="preserve">Not recommended</t>
  </si>
  <si>
    <t xml:space="preserve">Room temp or warm water 3 min</t>
  </si>
  <si>
    <t xml:space="preserve">Light soy sauce</t>
  </si>
  <si>
    <t xml:space="preserve">1 bottle</t>
  </si>
  <si>
    <t xml:space="preserve">Cooked rice</t>
  </si>
  <si>
    <t xml:space="preserve">3 days</t>
  </si>
  <si>
    <t xml:space="preserve">1 month</t>
  </si>
  <si>
    <t xml:space="preserve">Steam or microwave with damp cloth</t>
  </si>
  <si>
    <t xml:space="preserve">Extra virgin olive oil</t>
  </si>
  <si>
    <t xml:space="preserve">15</t>
  </si>
  <si>
    <t xml:space="preserve">Steamed vegetables</t>
  </si>
  <si>
    <t xml:space="preserve">4 days</t>
  </si>
  <si>
    <t xml:space="preserve">Steam 3 min. Avoid microwave — texture degrades.</t>
  </si>
  <si>
    <t xml:space="preserve">Turmeric powder &amp; black pepper</t>
  </si>
  <si>
    <t xml:space="preserve">50g each</t>
  </si>
  <si>
    <t xml:space="preserve">Salad greens (washed)</t>
  </si>
  <si>
    <t xml:space="preserve">5 days</t>
  </si>
  <si>
    <t xml:space="preserve">Serve cold. Do not heat.</t>
  </si>
  <si>
    <t xml:space="preserve">Sesame oil</t>
  </si>
  <si>
    <t xml:space="preserve">100ml</t>
  </si>
  <si>
    <t xml:space="preserve">Marinated raw meat</t>
  </si>
  <si>
    <t xml:space="preserve">Thaw overnight in fridge. Never at room temp.</t>
  </si>
  <si>
    <t xml:space="preserve">ESTIMATED WEEKLY BUDGET</t>
  </si>
  <si>
    <t xml:space="preserve">Overnight oats</t>
  </si>
  <si>
    <t xml:space="preserve">Serve cold. Add fresh fruit before eating.</t>
  </si>
  <si>
    <t xml:space="preserve">Est. Weekly Cost (RM)</t>
  </si>
  <si>
    <t xml:space="preserve">% of Total</t>
  </si>
  <si>
    <t xml:space="preserve">Protein (salmon, chicken, eggs, dairy)</t>
  </si>
  <si>
    <t xml:space="preserve">106–116</t>
  </si>
  <si>
    <t xml:space="preserve">~45%</t>
  </si>
  <si>
    <t xml:space="preserve">Carbohydrates (rice, oats, bread, potatoes)</t>
  </si>
  <si>
    <t xml:space="preserve">23</t>
  </si>
  <si>
    <t xml:space="preserve">~10%</t>
  </si>
  <si>
    <t xml:space="preserve">Vegetables &amp; Fresh Produce</t>
  </si>
  <si>
    <t xml:space="preserve">31</t>
  </si>
  <si>
    <t xml:space="preserve">~13%</t>
  </si>
  <si>
    <t xml:space="preserve">Fruit</t>
  </si>
  <si>
    <t xml:space="preserve">29</t>
  </si>
  <si>
    <t xml:space="preserve">~12%</t>
  </si>
  <si>
    <t xml:space="preserve">Pantry &amp; Condiments</t>
  </si>
  <si>
    <t xml:space="preserve">63</t>
  </si>
  <si>
    <t xml:space="preserve">~26%</t>
  </si>
  <si>
    <t xml:space="preserve">TOTAL (Essential items only)</t>
  </si>
  <si>
    <t xml:space="preserve">~170–180</t>
  </si>
  <si>
    <t xml:space="preserve">100%</t>
  </si>
  <si>
    <t xml:space="preserve">TOTAL (With recommended items)</t>
  </si>
  <si>
    <t xml:space="preserve">~220–240</t>
  </si>
  <si>
    <t xml:space="preserve">MICRONUTRIENT, SUPPLEMENT &amp; HYDRATION PROTOCOL</t>
  </si>
  <si>
    <t xml:space="preserve">Food-first approach. Supplements address gaps, not replace whole foods. Consult a registered dietitian before introducing new supplements.</t>
  </si>
  <si>
    <t xml:space="preserve">EVIDENCE-BASED SUPPLEMENT RECOMMENDATIONS</t>
  </si>
  <si>
    <t xml:space="preserve">DAILY HYDRATION MONITORING</t>
  </si>
  <si>
    <t xml:space="preserve">Supplement</t>
  </si>
  <si>
    <t xml:space="preserve">Recommended Dose</t>
  </si>
  <si>
    <t xml:space="preserve">Timing</t>
  </si>
  <si>
    <t xml:space="preserve">Purpose</t>
  </si>
  <si>
    <t xml:space="preserve">Food Source Alternative</t>
  </si>
  <si>
    <t xml:space="preserve">Beverage</t>
  </si>
  <si>
    <t xml:space="preserve">Volume (ml)</t>
  </si>
  <si>
    <t xml:space="preserve">Cumulative (ml)</t>
  </si>
  <si>
    <t xml:space="preserve">Omega-3 (EPA+DHA)</t>
  </si>
  <si>
    <t xml:space="preserve">1,000–2,000 mg/day</t>
  </si>
  <si>
    <t xml:space="preserve">With main meal</t>
  </si>
  <si>
    <t xml:space="preserve">Anti-inflammatory, cardiovascular, cognitive support</t>
  </si>
  <si>
    <t xml:space="preserve">150g salmon (3–4x/week)</t>
  </si>
  <si>
    <t xml:space="preserve">06:00–07:00</t>
  </si>
  <si>
    <t xml:space="preserve">Water (upon waking)</t>
  </si>
  <si>
    <t xml:space="preserve">Rehydrate after 7–8h fast</t>
  </si>
  <si>
    <t xml:space="preserve">Vitamin D3</t>
  </si>
  <si>
    <t xml:space="preserve">1,000–2,000 IU/day</t>
  </si>
  <si>
    <t xml:space="preserve">Morning, with fat</t>
  </si>
  <si>
    <t xml:space="preserve">Bone health, immune function, mood regulation</t>
  </si>
  <si>
    <t xml:space="preserve">Sun exposure 15 min (10am–3pm)</t>
  </si>
  <si>
    <t xml:space="preserve">08:00–09:00</t>
  </si>
  <si>
    <t xml:space="preserve">Black coffee / Teh O</t>
  </si>
  <si>
    <t xml:space="preserve">Caffeine: mild diuretic, net hydration positive</t>
  </si>
  <si>
    <t xml:space="preserve">Magnesium</t>
  </si>
  <si>
    <t xml:space="preserve">200–400 mg/day (bisglycinate)</t>
  </si>
  <si>
    <t xml:space="preserve">Evening, before bed</t>
  </si>
  <si>
    <t xml:space="preserve">Muscle relaxation, sleep quality, insulin sensitivity</t>
  </si>
  <si>
    <t xml:space="preserve">Pumpkin seeds, dark chocolate, leafy greens</t>
  </si>
  <si>
    <t xml:space="preserve">10:00–11:00</t>
  </si>
  <si>
    <t xml:space="preserve">Probiotics</t>
  </si>
  <si>
    <t xml:space="preserve">10–50 billion CFU, multi-strain</t>
  </si>
  <si>
    <t xml:space="preserve">Morning, empty stomach</t>
  </si>
  <si>
    <t xml:space="preserve">Gut microbiome diversity, immune modulation</t>
  </si>
  <si>
    <t xml:space="preserve">Greek yogurt, kimchi, tempeh</t>
  </si>
  <si>
    <t xml:space="preserve">12:00–13:00</t>
  </si>
  <si>
    <t xml:space="preserve">Water (before lunch)</t>
  </si>
  <si>
    <t xml:space="preserve">Promotes satiety, aids digestion</t>
  </si>
  <si>
    <t xml:space="preserve">Collagen Peptides</t>
  </si>
  <si>
    <t xml:space="preserve">10g/day</t>
  </si>
  <si>
    <t xml:space="preserve">Morning or post-workout</t>
  </si>
  <si>
    <t xml:space="preserve">Skin elasticity, joint support (mixed evidence)</t>
  </si>
  <si>
    <t xml:space="preserve">Salmon skin, bone broth, chicken feet</t>
  </si>
  <si>
    <t xml:space="preserve">14:00–15:00</t>
  </si>
  <si>
    <t xml:space="preserve">Green tea / Water</t>
  </si>
  <si>
    <t xml:space="preserve">Multivitamin</t>
  </si>
  <si>
    <t xml:space="preserve">1 tablet (gender-specific)</t>
  </si>
  <si>
    <t xml:space="preserve">With breakfast</t>
  </si>
  <si>
    <t xml:space="preserve">Insurance against micronutrient gaps</t>
  </si>
  <si>
    <t xml:space="preserve">Varied whole-food diet</t>
  </si>
  <si>
    <t xml:space="preserve">16:00–17:00</t>
  </si>
  <si>
    <t xml:space="preserve">Creatine Monohydrate</t>
  </si>
  <si>
    <t xml:space="preserve">3–5g/day</t>
  </si>
  <si>
    <t xml:space="preserve">Any time, consistent</t>
  </si>
  <si>
    <t xml:space="preserve">Cognitive support, muscle phosphocreatine stores</t>
  </si>
  <si>
    <t xml:space="preserve">Red meat, fish (1kg beef = ~5g creatine)</t>
  </si>
  <si>
    <t xml:space="preserve">18:00–19:00</t>
  </si>
  <si>
    <t xml:space="preserve">Water (before dinner)</t>
  </si>
  <si>
    <t xml:space="preserve">Iron (if deficient)</t>
  </si>
  <si>
    <t xml:space="preserve">Per blood test results</t>
  </si>
  <si>
    <t xml:space="preserve">With vitamin C, away from calcium</t>
  </si>
  <si>
    <t xml:space="preserve">Oxygen transport, energy metabolism</t>
  </si>
  <si>
    <t xml:space="preserve">Red meat, spinach, lentils + vitamin C</t>
  </si>
  <si>
    <t xml:space="preserve">20:00–21:00</t>
  </si>
  <si>
    <t xml:space="preserve">Water / Herbal tea</t>
  </si>
  <si>
    <t xml:space="preserve">Limit fluids 1h before bed to reduce nocturia</t>
  </si>
  <si>
    <t xml:space="preserve">B-Complex</t>
  </si>
  <si>
    <t xml:space="preserve">1 tablet</t>
  </si>
  <si>
    <t xml:space="preserve">Energy metabolism, neurological function</t>
  </si>
  <si>
    <t xml:space="preserve">Eggs, dairy, whole grains, leafy greens</t>
  </si>
  <si>
    <t xml:space="preserve">Exercise +</t>
  </si>
  <si>
    <t xml:space="preserve">Additional water</t>
  </si>
  <si>
    <t xml:space="preserve">500–1000</t>
  </si>
  <si>
    <t xml:space="preserve">2750–3250</t>
  </si>
  <si>
    <t xml:space="preserve">Add 500ml per 30 min moderate activity</t>
  </si>
  <si>
    <t xml:space="preserve">DAILY MICRONUTRIENT TARGETS — FOOD-FIRST CHECKLIST</t>
  </si>
  <si>
    <t xml:space="preserve">CAFFEINE MANAGEMENT PROTOCOL</t>
  </si>
  <si>
    <t xml:space="preserve">Nutrient</t>
  </si>
  <si>
    <t xml:space="preserve">Daily Target</t>
  </si>
  <si>
    <t xml:space="preserve">Primary Food Sources</t>
  </si>
  <si>
    <t xml:space="preserve">Check</t>
  </si>
  <si>
    <t xml:space="preserve">Serving</t>
  </si>
  <si>
    <t xml:space="preserve">Caffeine (mg)</t>
  </si>
  <si>
    <t xml:space="preserve">Recommended Max</t>
  </si>
  <si>
    <t xml:space="preserve">Vitamin A</t>
  </si>
  <si>
    <t xml:space="preserve">700 mcg RAE</t>
  </si>
  <si>
    <t xml:space="preserve">Carrot, spinach, papaya, eggs</t>
  </si>
  <si>
    <t xml:space="preserve">☐</t>
  </si>
  <si>
    <t xml:space="preserve">Black Coffee</t>
  </si>
  <si>
    <t xml:space="preserve">95</t>
  </si>
  <si>
    <t xml:space="preserve">3 cups/day</t>
  </si>
  <si>
    <t xml:space="preserve">Vitamin C</t>
  </si>
  <si>
    <t xml:space="preserve">75 mg</t>
  </si>
  <si>
    <t xml:space="preserve">Guava, orange, broccoli, tomato</t>
  </si>
  <si>
    <t xml:space="preserve">Teh Tarik</t>
  </si>
  <si>
    <t xml:space="preserve">50</t>
  </si>
  <si>
    <t xml:space="preserve">2 cups/day</t>
  </si>
  <si>
    <t xml:space="preserve">Vitamin D</t>
  </si>
  <si>
    <t xml:space="preserve">15 mcg (600 IU)</t>
  </si>
  <si>
    <t xml:space="preserve">Salmon, egg yolk, sun exposure</t>
  </si>
  <si>
    <t xml:space="preserve">Green Tea</t>
  </si>
  <si>
    <t xml:space="preserve">35</t>
  </si>
  <si>
    <t xml:space="preserve">4 cups/day</t>
  </si>
  <si>
    <t xml:space="preserve">Vitamin E</t>
  </si>
  <si>
    <t xml:space="preserve">15 mg</t>
  </si>
  <si>
    <t xml:space="preserve">Almonds, sunflower seeds, avocado</t>
  </si>
  <si>
    <t xml:space="preserve">Milo</t>
  </si>
  <si>
    <t xml:space="preserve">No limit (sugar is the concern)</t>
  </si>
  <si>
    <t xml:space="preserve">Vitamin K</t>
  </si>
  <si>
    <t xml:space="preserve">90 mcg</t>
  </si>
  <si>
    <t xml:space="preserve">Ulam, spinach, broccoli, spring onion</t>
  </si>
  <si>
    <t xml:space="preserve">Energy Drinks</t>
  </si>
  <si>
    <t xml:space="preserve">1 can (250ml)</t>
  </si>
  <si>
    <t xml:space="preserve">80</t>
  </si>
  <si>
    <t xml:space="preserve">AVOID — sugar + caffeine spike</t>
  </si>
  <si>
    <t xml:space="preserve">Calcium</t>
  </si>
  <si>
    <t xml:space="preserve">1,000 mg</t>
  </si>
  <si>
    <t xml:space="preserve">Greek yogurt, skim milk, tofu, tempeh</t>
  </si>
  <si>
    <t xml:space="preserve">Pre-workout</t>
  </si>
  <si>
    <t xml:space="preserve">1 scoop</t>
  </si>
  <si>
    <t xml:space="preserve">150–300</t>
  </si>
  <si>
    <t xml:space="preserve">Only if training; not for daily use</t>
  </si>
  <si>
    <t xml:space="preserve">Iron</t>
  </si>
  <si>
    <t xml:space="preserve">18 mg</t>
  </si>
  <si>
    <t xml:space="preserve">310 mg</t>
  </si>
  <si>
    <t xml:space="preserve">Pumpkin seeds, dark chocolate, oats</t>
  </si>
  <si>
    <t xml:space="preserve">CAFFEINE CUT-OFF: No caffeine after 2:00 PM to preserve sleep architecture. Caffeine half-life is 5–6 hours; quarter-life is 10–12 hours.</t>
  </si>
  <si>
    <t xml:space="preserve">Zinc</t>
  </si>
  <si>
    <t xml:space="preserve">8 mg</t>
  </si>
  <si>
    <t xml:space="preserve">Beef, pumpkin seeds, shellfish</t>
  </si>
  <si>
    <t xml:space="preserve">Potassium</t>
  </si>
  <si>
    <t xml:space="preserve">2,600 mg</t>
  </si>
  <si>
    <t xml:space="preserve">Banana, sweet potato, spinach, tomato</t>
  </si>
  <si>
    <t xml:space="preserve">Salmon (3–4x/week), sardines, walnuts</t>
  </si>
  <si>
    <t xml:space="preserve">Fibre</t>
  </si>
  <si>
    <t xml:space="preserve">30 g</t>
  </si>
  <si>
    <t xml:space="preserve">Oats, brown rice, vegetables, fruit, chia</t>
  </si>
  <si>
    <t xml:space="preserve">METHODOLOGY, DISCLAIMERS &amp; EVIDENCE BASE</t>
  </si>
  <si>
    <t xml:space="preserve">PROGRAMME METHODOLOGY</t>
  </si>
  <si>
    <t xml:space="preserve">1. ENERGY BALANCE FRAMEWORK: This programme operates on the principle of sustained negative energy balance. A deficit of 300–500 kcal/day below Total Daily Energy Expenditure (TDEE) produces a fat loss rate of 0.4–0.6 kg/week. This rate minimises adaptive thermogenesis, preserves lean body mass, and supports hormonal homeostasis. Faster rates (&gt;1 kg/week) increase risk of gallstone formation, muscle catabolism, and menstrual disruption in females.</t>
  </si>
  <si>
    <t xml:space="preserve">2. PROTEIN THRESHOLD: Protein intake is set at 1.4–1.6 g/kg target body weight (90g/day for 55kg goal). This exceeds the RDA (0.8 g/kg) and aligns with sports nutrition consensus for body recomposition during caloric restriction. Higher protein preserves muscle protein synthesis, increases diet-induced thermogenesis (DIT: 20–30% of protein kcal vs 5–10% for carbs/fats), and enhances satiety via GLP-1 and PYY secretion.</t>
  </si>
  <si>
    <t xml:space="preserve">3. MACRONUTRIENT DISTRIBUTION: The 1500 kcal target is distributed as 24% protein (90g), 35% carbohydrate (130g), and 30% fat (50g), with 8% fibre (30g). This moderate-carbohydrate approach supports thyroid function, training performance, and cognitive clarity while maintaining sufficient fat for steroid hormone synthesis and fat-soluble vitamin absorption.</t>
  </si>
  <si>
    <t xml:space="preserve">4. MEAL PATTERNING: Three main meals plus 1–2 snacks distributed across a 10–12 hour eating window (e.g., 08:00–20:00) supports circadian alignment. Front-loading calories (larger breakfast/lunch, moderate dinner) improves glucose tolerance and reduces evening hyperphagia.</t>
  </si>
  <si>
    <t xml:space="preserve">5. FOOD QUALITY HIERARCHY: The programme prioritises whole, minimally processed foods. The NOVA classification system guides selections: Group 1 (unprocessed/minimally processed) forms 80–90% of intake; Group 2 (culinary ingredients) 5–10%; Group 3 (processed foods) ≤10%; Group 4 (ultra-processed) ≤5% (weekly treat meal).</t>
  </si>
  <si>
    <t xml:space="preserve">6. BEHAVIOURAL ADHERENCE MECHANISMS: (a) Flexible eating: one weekly meal ≤800 kcal prevents psychological restriction and supports social participation. (b) Meal prep: batch cooking on Sundays reduces decision fatigue and improves adherence by 40–60%. (c) Self-monitoring: daily food logging increases weight loss success by 2–3x versus non-logging (Burke et al., 2011). (d) Progress photos: visual feedback maintains motivation when scale weight plateaus.</t>
  </si>
  <si>
    <t xml:space="preserve">7. HYDRATION &amp; MICRONUTRIENTS: Water intake of 2.5L/day supports cellular metabolism, thermoregulation, and appetite regulation. The programme emphasises food-first micronutrient acquisition through 5+ vegetable servings and 2+ fruit servings daily. Supplements address only documented gaps (Vitamin D in equatorial latitudes with high indoor exposure; Omega-3 if salmon intake &lt;2x/week).</t>
  </si>
  <si>
    <t xml:space="preserve">8. SLEEP &amp; STRESS INTEGRATION: Sleep restriction to &lt;7 hours increases ghrelin (+28%) and reduces leptin (-18%), amplifying hedonic food cravings (Spiegel et al., 2004). Chronic cortisol elevation promotes visceral adiposity. The programme recommends 7–9 hours sleep and stress-reduction practices (walking, journaling, prayer/meditation) as non-negotiable adjuncts to nutrition.</t>
  </si>
  <si>
    <t xml:space="preserve">REFERENCES &amp; EVIDENCE BASE</t>
  </si>
  <si>
    <t xml:space="preserve">1. Arshad, F., et al. (2022). Meal preparation and dietary adherence in Malaysian adults: A cross-sectional study. Journal of Nutrition and Metabolism, 2022, 8845123.</t>
  </si>
  <si>
    <t xml:space="preserve">2. Burke, L. E., et al. (2011). Self-monitoring in weight loss: A systematic review of the literature. Journal of the American Dietetic Association, 111(1), 92–102.</t>
  </si>
  <si>
    <t xml:space="preserve">3. Helms, E. R., et al. (2014). Evidence-based recommendations for natural bodybuilding contest preparation: Nutrition and supplementation. Journal of the International Society of Sports Nutrition, 11(1), 20.</t>
  </si>
  <si>
    <t xml:space="preserve">4. Institute of Medicine (2005). Dietary Reference Intakes for Energy, Carbohydrate, Fiber, Fat, Fatty Acids, Cholesterol, Protein, and Amino Acids. National Academies Press.</t>
  </si>
  <si>
    <t xml:space="preserve">5. Leidy, H. J., et al. (2015). The role of protein in weight loss and maintenance. American Journal of Clinical Nutrition, 101(6), 1320S–1329S.</t>
  </si>
  <si>
    <t xml:space="preserve">6. Monteiro, C. A., et al. (2019). Ultra-processed foods, diet quality, and health using the NOVA classification system. FAO.</t>
  </si>
  <si>
    <t xml:space="preserve">7. Phillips, S. M., &amp; Van Loon, L. J. (2011). Dietary protein for athletes: From requirements to optimum adaptation. Journal of Sports Sciences, 29(sup1), S29–S38.</t>
  </si>
  <si>
    <t xml:space="preserve">8. Spiegel, K., et al. (2004). Brief communication: Sleep curtailment in healthy young men is associated with decreased leptin levels, elevated ghrelin levels, and increased hunger and appetite. Annals of Internal Medicine, 141(11), 846–850.</t>
  </si>
  <si>
    <t xml:space="preserve">9. St-Onge, M. P., et al. (2016). Sleep and circadian rhythms in the development of obesity. Physiology &amp; Behavior, 134, 178–186.</t>
  </si>
  <si>
    <t xml:space="preserve">10. Tee, E. S., et al. (2013). Nutrient composition of Malaysian foods. Malaysian Food Composition Database Programme, Institute for Medical Research.</t>
  </si>
  <si>
    <t xml:space="preserve">11. USDA (2024). FoodData Central. U.S. Department of Agriculture, Agricultural Research Service.</t>
  </si>
  <si>
    <t xml:space="preserve">12. WHO (2015). Guideline: Sugars intake for adults and children. World Health Organization.</t>
  </si>
  <si>
    <t xml:space="preserve">MEDICAL DISCLAIMER</t>
  </si>
  <si>
    <t xml:space="preserve">This nutritional programme is intended for general educational purposes only. It does not constitute medical advice, diagnosis, or treatment. The recommendations herein are based on established nutritional science and are designed for healthy adults without diagnosed medical conditions.</t>
  </si>
  <si>
    <t xml:space="preserve">Before commencing this or any dietary programme, individuals should consult a registered medical practitioner or accredited dietitian, particularly if they:</t>
  </si>
  <si>
    <t xml:space="preserve">  • Have a diagnosed medical condition (diabetes, hypertension, kidney disease, thyroid disorder, eating disorder history)</t>
  </si>
  <si>
    <t xml:space="preserve">  • Are pregnant, breastfeeding, or planning pregnancy</t>
  </si>
  <si>
    <t xml:space="preserve">  • Are under 18 years of age or over 65 years of age</t>
  </si>
  <si>
    <t xml:space="preserve">  • Are taking prescription medication that may interact with dietary changes</t>
  </si>
  <si>
    <t xml:space="preserve">  • Have a history of disordered eating or body dysmorphia</t>
  </si>
  <si>
    <t xml:space="preserve">The programme author and distributor assume no liability for adverse outcomes resulting from unsupervised implementation. Individual results vary based on genetics, adherence, activity level, sleep quality, stress status, and metabolic health.</t>
  </si>
  <si>
    <t xml:space="preserve">For personalised medical nutrition therapy in Malaysia, contact: Malaysian Dietitians' Association (MDA) or seek referral from a private hospital dietitian.</t>
  </si>
</sst>
</file>

<file path=xl/styles.xml><?xml version="1.0" encoding="utf-8"?>
<styleSheet xmlns="http://schemas.openxmlformats.org/spreadsheetml/2006/main">
  <numFmts count="9">
    <numFmt numFmtId="164" formatCode="General"/>
    <numFmt numFmtId="165" formatCode="0.#"/>
    <numFmt numFmtId="166" formatCode="0"/>
    <numFmt numFmtId="167" formatCode="0.0"/>
    <numFmt numFmtId="168" formatCode="yyyy\-mm\-dd"/>
    <numFmt numFmtId="169" formatCode="0.##"/>
    <numFmt numFmtId="170" formatCode="\+0%;\-0%;0%"/>
    <numFmt numFmtId="171" formatCode="\+0.0;\-0.0;0.0"/>
    <numFmt numFmtId="172" formatCode="\+0.0%;\-0.0%;0.0%"/>
  </numFmts>
  <fonts count="47">
    <font>
      <sz val="11"/>
      <color theme="1"/>
      <name val="Calibri"/>
      <family val="2"/>
      <charset val="1"/>
    </font>
    <font>
      <sz val="10"/>
      <name val="Arial"/>
      <family val="0"/>
    </font>
    <font>
      <sz val="10"/>
      <name val="Arial"/>
      <family val="0"/>
    </font>
    <font>
      <sz val="10"/>
      <name val="Arial"/>
      <family val="0"/>
    </font>
    <font>
      <b val="true"/>
      <sz val="17"/>
      <color rgb="FF1F1F1F"/>
      <name val="Arial"/>
      <family val="0"/>
      <charset val="1"/>
    </font>
    <font>
      <sz val="10"/>
      <color rgb="FF1F1F1F"/>
      <name val="Arial"/>
      <family val="0"/>
      <charset val="1"/>
    </font>
    <font>
      <i val="true"/>
      <sz val="9.5"/>
      <color rgb="FF8C8C8C"/>
      <name val="Arial"/>
      <family val="0"/>
      <charset val="1"/>
    </font>
    <font>
      <b val="true"/>
      <sz val="11"/>
      <color rgb="FF1F1F1F"/>
      <name val="Arial"/>
      <family val="0"/>
      <charset val="1"/>
    </font>
    <font>
      <b val="true"/>
      <sz val="9.5"/>
      <color rgb="FFFFFFFF"/>
      <name val="Arial"/>
      <family val="0"/>
      <charset val="1"/>
    </font>
    <font>
      <b val="true"/>
      <sz val="10"/>
      <color rgb="FF3D3D3D"/>
      <name val="Arial"/>
      <family val="0"/>
      <charset val="1"/>
    </font>
    <font>
      <b val="true"/>
      <sz val="10.5"/>
      <color rgb="FF0B4F9E"/>
      <name val="Arial"/>
      <family val="0"/>
      <charset val="1"/>
    </font>
    <font>
      <b val="true"/>
      <sz val="10.5"/>
      <color rgb="FFE4572E"/>
      <name val="Arial"/>
      <family val="0"/>
      <charset val="1"/>
    </font>
    <font>
      <b val="true"/>
      <sz val="10.5"/>
      <color rgb="FF1B7A52"/>
      <name val="Arial"/>
      <family val="0"/>
      <charset val="1"/>
    </font>
    <font>
      <sz val="10.5"/>
      <color rgb="FF3D3D3D"/>
      <name val="Arial"/>
      <family val="0"/>
      <charset val="1"/>
    </font>
    <font>
      <b val="true"/>
      <sz val="11"/>
      <color rgb="FF8C8C8C"/>
      <name val="Arial"/>
      <family val="0"/>
      <charset val="1"/>
    </font>
    <font>
      <b val="true"/>
      <sz val="9.5"/>
      <color rgb="FF3D3D3D"/>
      <name val="Arial"/>
      <family val="0"/>
      <charset val="1"/>
    </font>
    <font>
      <b val="true"/>
      <sz val="10.5"/>
      <color rgb="FF3D3D3D"/>
      <name val="Arial"/>
      <family val="0"/>
      <charset val="1"/>
    </font>
    <font>
      <b val="true"/>
      <sz val="11"/>
      <color rgb="FF0B4F9E"/>
      <name val="Arial"/>
      <family val="0"/>
      <charset val="1"/>
    </font>
    <font>
      <sz val="9.5"/>
      <color rgb="FF8C8C8C"/>
      <name val="Arial"/>
      <family val="0"/>
      <charset val="1"/>
    </font>
    <font>
      <i val="true"/>
      <sz val="9"/>
      <color rgb="FF8C8C8C"/>
      <name val="Arial"/>
      <family val="0"/>
      <charset val="1"/>
    </font>
    <font>
      <i val="true"/>
      <sz val="8.5"/>
      <color rgb="FF8C8C8C"/>
      <name val="Arial"/>
      <family val="0"/>
      <charset val="1"/>
    </font>
    <font>
      <sz val="9.5"/>
      <color rgb="FF3D3D3D"/>
      <name val="Arial"/>
      <family val="0"/>
      <charset val="1"/>
    </font>
    <font>
      <sz val="10"/>
      <color rgb="FF3D3D3D"/>
      <name val="Arial"/>
      <family val="0"/>
      <charset val="1"/>
    </font>
    <font>
      <b val="true"/>
      <sz val="8.5"/>
      <color rgb="FF8C8C8C"/>
      <name val="Arial"/>
      <family val="0"/>
      <charset val="1"/>
    </font>
    <font>
      <b val="true"/>
      <sz val="15"/>
      <color rgb="FFE4572E"/>
      <name val="Arial"/>
      <family val="0"/>
      <charset val="1"/>
    </font>
    <font>
      <b val="true"/>
      <sz val="10"/>
      <color rgb="FF1F1F1F"/>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1.5"/>
      <color rgb="FFFFFFFF"/>
      <name val="Arial"/>
      <family val="0"/>
      <charset val="1"/>
    </font>
    <font>
      <b val="true"/>
      <sz val="10"/>
      <color rgb="FF0B4F9E"/>
      <name val="Arial"/>
      <family val="0"/>
      <charset val="1"/>
    </font>
    <font>
      <sz val="10"/>
      <color rgb="FF0B4F9E"/>
      <name val="Arial"/>
      <family val="0"/>
      <charset val="1"/>
    </font>
    <font>
      <b val="true"/>
      <sz val="11"/>
      <color rgb="FFE4572E"/>
      <name val="Arial"/>
      <family val="0"/>
      <charset val="1"/>
    </font>
    <font>
      <b val="true"/>
      <sz val="10"/>
      <color rgb="FF8C8C8C"/>
      <name val="Arial"/>
      <family val="0"/>
      <charset val="1"/>
    </font>
    <font>
      <sz val="10"/>
      <color rgb="FF8C8C8C"/>
      <name val="Arial"/>
      <family val="0"/>
      <charset val="1"/>
    </font>
    <font>
      <b val="true"/>
      <sz val="9"/>
      <color rgb="FF1F1F1F"/>
      <name val="Arial"/>
      <family val="0"/>
      <charset val="1"/>
    </font>
    <font>
      <b val="true"/>
      <sz val="10"/>
      <color rgb="FFE4572E"/>
      <name val="Arial"/>
      <family val="0"/>
      <charset val="1"/>
    </font>
    <font>
      <b val="true"/>
      <sz val="10"/>
      <color rgb="FF1B7A52"/>
      <name val="Arial"/>
      <family val="0"/>
      <charset val="1"/>
    </font>
    <font>
      <b val="true"/>
      <sz val="9"/>
      <color rgb="FFBFBFBF"/>
      <name val="Arial"/>
      <family val="0"/>
      <charset val="1"/>
    </font>
    <font>
      <b val="true"/>
      <sz val="11"/>
      <color rgb="FFFFFFFF"/>
      <name val="Arial"/>
      <family val="0"/>
      <charset val="1"/>
    </font>
    <font>
      <i val="true"/>
      <sz val="9"/>
      <color rgb="FF3D3D3D"/>
      <name val="Arial"/>
      <family val="0"/>
      <charset val="1"/>
    </font>
    <font>
      <b val="true"/>
      <sz val="9"/>
      <color rgb="FF8C8C8C"/>
      <name val="Arial"/>
      <family val="0"/>
      <charset val="1"/>
    </font>
    <font>
      <b val="true"/>
      <sz val="9"/>
      <color rgb="FF1B7A52"/>
      <name val="Arial"/>
      <family val="0"/>
      <charset val="1"/>
    </font>
    <font>
      <b val="true"/>
      <sz val="9"/>
      <color rgb="FFB4711A"/>
      <name val="Arial"/>
      <family val="0"/>
      <charset val="1"/>
    </font>
    <font>
      <b val="true"/>
      <sz val="13"/>
      <color rgb="FF1B7A52"/>
      <name val="Arial"/>
      <family val="0"/>
      <charset val="1"/>
    </font>
    <font>
      <sz val="9"/>
      <color rgb="FF8C8C8C"/>
      <name val="Arial"/>
      <family val="0"/>
      <charset val="1"/>
    </font>
    <font>
      <sz val="9"/>
      <color rgb="FF3D3D3D"/>
      <name val="Arial"/>
      <family val="0"/>
      <charset val="1"/>
    </font>
  </fonts>
  <fills count="9">
    <fill>
      <patternFill patternType="none"/>
    </fill>
    <fill>
      <patternFill patternType="gray125"/>
    </fill>
    <fill>
      <patternFill patternType="solid">
        <fgColor rgb="FFFFFFFF"/>
        <bgColor rgb="FFFAFAFA"/>
      </patternFill>
    </fill>
    <fill>
      <patternFill patternType="solid">
        <fgColor rgb="FFF4F1EE"/>
        <bgColor rgb="FFF7F7F7"/>
      </patternFill>
    </fill>
    <fill>
      <patternFill patternType="solid">
        <fgColor rgb="FF1F1F1F"/>
        <bgColor rgb="FF003300"/>
      </patternFill>
    </fill>
    <fill>
      <patternFill patternType="solid">
        <fgColor rgb="FFFAFAFA"/>
        <bgColor rgb="FFF7F7F7"/>
      </patternFill>
    </fill>
    <fill>
      <patternFill patternType="solid">
        <fgColor rgb="FFFFF3D4"/>
        <bgColor rgb="FFFBEAE4"/>
      </patternFill>
    </fill>
    <fill>
      <patternFill patternType="solid">
        <fgColor rgb="FFF7F7F7"/>
        <bgColor rgb="FFFAFAFA"/>
      </patternFill>
    </fill>
    <fill>
      <patternFill patternType="solid">
        <fgColor rgb="FFFBEAE4"/>
        <bgColor rgb="FFF4F1EE"/>
      </patternFill>
    </fill>
  </fills>
  <borders count="6">
    <border diagonalUp="false" diagonalDown="false">
      <left/>
      <right/>
      <top/>
      <bottom/>
      <diagonal/>
    </border>
    <border diagonalUp="false" diagonalDown="false">
      <left/>
      <right/>
      <top/>
      <bottom style="medium">
        <color rgb="FFE4572E"/>
      </bottom>
      <diagonal/>
    </border>
    <border diagonalUp="false" diagonalDown="false">
      <left/>
      <right/>
      <top/>
      <bottom style="thin">
        <color rgb="FF3D3D3D"/>
      </bottom>
      <diagonal/>
    </border>
    <border diagonalUp="false" diagonalDown="false">
      <left style="thin">
        <color rgb="FFE2E2E2"/>
      </left>
      <right style="thin">
        <color rgb="FFE2E2E2"/>
      </right>
      <top style="thin">
        <color rgb="FFE2E2E2"/>
      </top>
      <bottom style="thin">
        <color rgb="FFE2E2E2"/>
      </bottom>
      <diagonal/>
    </border>
    <border diagonalUp="false" diagonalDown="false">
      <left/>
      <right/>
      <top/>
      <bottom style="thin">
        <color rgb="FFE2E2E2"/>
      </bottom>
      <diagonal/>
    </border>
    <border diagonalUp="false" diagonalDown="false">
      <left style="thin">
        <color rgb="FFE2E2E2"/>
      </left>
      <right style="thin">
        <color rgb="FFE2E2E2"/>
      </right>
      <top style="thin">
        <color rgb="FF3D3D3D"/>
      </top>
      <bottom style="thin">
        <color rgb="FFE2E2E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2" borderId="0" xfId="0" applyFont="true" applyBorder="true" applyAlignment="true" applyProtection="false">
      <alignment horizontal="left" vertical="center" textRotation="0" wrapText="true" indent="0" shrinkToFit="false"/>
      <protection locked="true" hidden="false"/>
    </xf>
    <xf numFmtId="164" fontId="7" fillId="3" borderId="2" xfId="0" applyFont="true" applyBorder="true" applyAlignment="true" applyProtection="false">
      <alignment horizontal="left" vertical="center" textRotation="0" wrapText="true" indent="0" shrinkToFit="false"/>
      <protection locked="true" hidden="false"/>
    </xf>
    <xf numFmtId="164" fontId="8" fillId="4" borderId="3" xfId="0" applyFont="true" applyBorder="true" applyAlignment="true" applyProtection="false">
      <alignment horizontal="center" vertical="center" textRotation="0" wrapText="true" indent="0" shrinkToFit="false"/>
      <protection locked="true" hidden="false"/>
    </xf>
    <xf numFmtId="164" fontId="9" fillId="5" borderId="3" xfId="0" applyFont="true" applyBorder="true" applyAlignment="true" applyProtection="false">
      <alignment horizontal="left" vertical="center" textRotation="0" wrapText="true" indent="0" shrinkToFit="false"/>
      <protection locked="true" hidden="false"/>
    </xf>
    <xf numFmtId="165" fontId="10" fillId="6" borderId="3" xfId="0" applyFont="true" applyBorder="true" applyAlignment="true" applyProtection="false">
      <alignment horizontal="center" vertical="center" textRotation="0" wrapText="true" indent="0" shrinkToFit="false"/>
      <protection locked="true" hidden="false"/>
    </xf>
    <xf numFmtId="164" fontId="9" fillId="5" borderId="3" xfId="0" applyFont="true" applyBorder="true" applyAlignment="true" applyProtection="false">
      <alignment horizontal="center" vertical="center" textRotation="0" wrapText="true" indent="0" shrinkToFit="false"/>
      <protection locked="true" hidden="false"/>
    </xf>
    <xf numFmtId="166" fontId="11" fillId="7" borderId="3" xfId="0" applyFont="true" applyBorder="true" applyAlignment="true" applyProtection="false">
      <alignment horizontal="center" vertical="center" textRotation="0" wrapText="true" indent="0" shrinkToFit="false"/>
      <protection locked="true" hidden="false"/>
    </xf>
    <xf numFmtId="167" fontId="12" fillId="7" borderId="3" xfId="0" applyFont="true" applyBorder="true" applyAlignment="true" applyProtection="false">
      <alignment horizontal="center" vertical="center" textRotation="0" wrapText="true" indent="0" shrinkToFit="false"/>
      <protection locked="true" hidden="false"/>
    </xf>
    <xf numFmtId="164" fontId="9" fillId="7" borderId="3" xfId="0" applyFont="true" applyBorder="true" applyAlignment="true" applyProtection="false">
      <alignment horizontal="center" vertical="center" textRotation="0" wrapText="true" indent="0" shrinkToFit="false"/>
      <protection locked="true" hidden="false"/>
    </xf>
    <xf numFmtId="167" fontId="13" fillId="7" borderId="3" xfId="0" applyFont="true" applyBorder="true" applyAlignment="true" applyProtection="false">
      <alignment horizontal="center" vertical="center" textRotation="0" wrapText="true" indent="0" shrinkToFit="false"/>
      <protection locked="true" hidden="false"/>
    </xf>
    <xf numFmtId="164" fontId="14" fillId="7" borderId="3" xfId="0" applyFont="true" applyBorder="true" applyAlignment="true" applyProtection="false">
      <alignment horizontal="center" vertical="center" textRotation="0" wrapText="true" indent="0" shrinkToFit="false"/>
      <protection locked="true" hidden="false"/>
    </xf>
    <xf numFmtId="166" fontId="10" fillId="6" borderId="3" xfId="0" applyFont="true" applyBorder="true" applyAlignment="true" applyProtection="false">
      <alignment horizontal="center" vertical="center" textRotation="0" wrapText="true" indent="0" shrinkToFit="false"/>
      <protection locked="true" hidden="false"/>
    </xf>
    <xf numFmtId="167" fontId="10" fillId="6" borderId="3" xfId="0" applyFont="true" applyBorder="true" applyAlignment="true" applyProtection="false">
      <alignment horizontal="center" vertical="center" textRotation="0" wrapText="true" indent="0" shrinkToFit="false"/>
      <protection locked="true" hidden="false"/>
    </xf>
    <xf numFmtId="164" fontId="15" fillId="7" borderId="3" xfId="0" applyFont="true" applyBorder="true" applyAlignment="true" applyProtection="false">
      <alignment horizontal="center" vertical="center" textRotation="0" wrapText="true" indent="0" shrinkToFit="false"/>
      <protection locked="true" hidden="false"/>
    </xf>
    <xf numFmtId="166" fontId="16" fillId="7" borderId="3" xfId="0" applyFont="true" applyBorder="true" applyAlignment="true" applyProtection="false">
      <alignment horizontal="center" vertical="center" textRotation="0" wrapText="true" indent="0" shrinkToFit="false"/>
      <protection locked="true" hidden="false"/>
    </xf>
    <xf numFmtId="166" fontId="13" fillId="7" borderId="3" xfId="0" applyFont="true" applyBorder="true" applyAlignment="true" applyProtection="false">
      <alignment horizontal="center" vertical="center" textRotation="0" wrapText="true" indent="0" shrinkToFit="false"/>
      <protection locked="true" hidden="false"/>
    </xf>
    <xf numFmtId="168" fontId="10" fillId="6" borderId="3" xfId="0" applyFont="true" applyBorder="true" applyAlignment="true" applyProtection="false">
      <alignment horizontal="center" vertical="center" textRotation="0" wrapText="true" indent="0" shrinkToFit="false"/>
      <protection locked="true" hidden="false"/>
    </xf>
    <xf numFmtId="168" fontId="13" fillId="7" borderId="3" xfId="0" applyFont="true" applyBorder="true" applyAlignment="true" applyProtection="false">
      <alignment horizontal="center" vertical="center" textRotation="0" wrapText="true" indent="0" shrinkToFit="false"/>
      <protection locked="true" hidden="false"/>
    </xf>
    <xf numFmtId="166" fontId="17" fillId="6" borderId="3" xfId="0" applyFont="true" applyBorder="true" applyAlignment="true" applyProtection="false">
      <alignment horizontal="center" vertical="center" textRotation="0" wrapText="true" indent="0" shrinkToFit="false"/>
      <protection locked="true" hidden="false"/>
    </xf>
    <xf numFmtId="164" fontId="18" fillId="2" borderId="3" xfId="0" applyFont="true" applyBorder="true" applyAlignment="true" applyProtection="false">
      <alignment horizontal="center" vertical="center" textRotation="0" wrapText="true" indent="0" shrinkToFit="false"/>
      <protection locked="true" hidden="false"/>
    </xf>
    <xf numFmtId="164" fontId="19" fillId="2" borderId="3" xfId="0" applyFont="true" applyBorder="true" applyAlignment="true" applyProtection="false">
      <alignment horizontal="left" vertical="center" textRotation="0" wrapText="true" indent="0" shrinkToFit="false"/>
      <protection locked="true" hidden="false"/>
    </xf>
    <xf numFmtId="164" fontId="20" fillId="2" borderId="0" xfId="0" applyFont="true" applyBorder="true" applyAlignment="true" applyProtection="false">
      <alignment horizontal="left" vertical="center" textRotation="0" wrapText="true" indent="0" shrinkToFit="false"/>
      <protection locked="true" hidden="false"/>
    </xf>
    <xf numFmtId="164" fontId="21" fillId="2" borderId="4" xfId="0" applyFont="true" applyBorder="true" applyAlignment="true" applyProtection="false">
      <alignment horizontal="left" vertical="top" textRotation="0" wrapText="true" indent="0" shrinkToFit="false"/>
      <protection locked="true" hidden="false"/>
    </xf>
    <xf numFmtId="166" fontId="11" fillId="2" borderId="3" xfId="0" applyFont="true" applyBorder="true" applyAlignment="true" applyProtection="false">
      <alignment horizontal="center" vertical="center" textRotation="0" wrapText="true" indent="0" shrinkToFit="false"/>
      <protection locked="true" hidden="false"/>
    </xf>
    <xf numFmtId="167" fontId="12" fillId="2" borderId="3" xfId="0" applyFont="true" applyBorder="true" applyAlignment="true" applyProtection="false">
      <alignment horizontal="center" vertical="center" textRotation="0" wrapText="true" indent="0" shrinkToFit="false"/>
      <protection locked="true" hidden="false"/>
    </xf>
    <xf numFmtId="166" fontId="22" fillId="2" borderId="3" xfId="0" applyFont="true" applyBorder="true" applyAlignment="true" applyProtection="false">
      <alignment horizontal="center" vertical="center" textRotation="0" wrapText="true" indent="0" shrinkToFit="false"/>
      <protection locked="true" hidden="false"/>
    </xf>
    <xf numFmtId="166" fontId="18" fillId="2" borderId="3" xfId="0" applyFont="true" applyBorder="true" applyAlignment="true" applyProtection="false">
      <alignment horizontal="center" vertical="center" textRotation="0" wrapText="true" indent="0" shrinkToFit="false"/>
      <protection locked="true" hidden="false"/>
    </xf>
    <xf numFmtId="166" fontId="9" fillId="2" borderId="3" xfId="0" applyFont="true" applyBorder="true" applyAlignment="true" applyProtection="false">
      <alignment horizontal="center" vertical="center" textRotation="0" wrapText="true" indent="0" shrinkToFit="false"/>
      <protection locked="true" hidden="false"/>
    </xf>
    <xf numFmtId="164" fontId="15" fillId="2" borderId="3" xfId="0" applyFont="true" applyBorder="true" applyAlignment="true" applyProtection="false">
      <alignment horizontal="center" vertical="center" textRotation="0" wrapText="true" indent="0" shrinkToFit="false"/>
      <protection locked="true" hidden="false"/>
    </xf>
    <xf numFmtId="164" fontId="23" fillId="5" borderId="3" xfId="0" applyFont="true" applyBorder="true" applyAlignment="true" applyProtection="false">
      <alignment horizontal="center" vertical="center" textRotation="0" wrapText="true" indent="0" shrinkToFit="false"/>
      <protection locked="true" hidden="false"/>
    </xf>
    <xf numFmtId="164" fontId="24" fillId="8" borderId="3" xfId="0" applyFont="true" applyBorder="true" applyAlignment="true" applyProtection="false">
      <alignment horizontal="center" vertical="center" textRotation="0" wrapText="true" indent="0" shrinkToFit="false"/>
      <protection locked="true" hidden="false"/>
    </xf>
    <xf numFmtId="164" fontId="25" fillId="5" borderId="3" xfId="0" applyFont="true" applyBorder="true" applyAlignment="true" applyProtection="false">
      <alignment horizontal="left" vertical="center" textRotation="0" wrapText="true" indent="0" shrinkToFit="false"/>
      <protection locked="true" hidden="false"/>
    </xf>
    <xf numFmtId="164" fontId="18" fillId="2" borderId="3" xfId="0" applyFont="true" applyBorder="true" applyAlignment="true" applyProtection="false">
      <alignment horizontal="left" vertical="center" textRotation="0" wrapText="true" indent="0" shrinkToFit="false"/>
      <protection locked="true" hidden="false"/>
    </xf>
    <xf numFmtId="164" fontId="9" fillId="2" borderId="3" xfId="0" applyFont="true" applyBorder="true" applyAlignment="true" applyProtection="false">
      <alignment horizontal="center" vertical="center" textRotation="0" wrapText="true" indent="0" shrinkToFit="false"/>
      <protection locked="true" hidden="false"/>
    </xf>
    <xf numFmtId="164" fontId="19" fillId="2" borderId="0" xfId="0" applyFont="true" applyBorder="true" applyAlignment="true" applyProtection="false">
      <alignment horizontal="left" vertical="center" textRotation="0" wrapText="true" indent="0" shrinkToFit="false"/>
      <protection locked="true" hidden="false"/>
    </xf>
    <xf numFmtId="164" fontId="29" fillId="4" borderId="0" xfId="0" applyFont="true" applyBorder="true" applyAlignment="true" applyProtection="false">
      <alignment horizontal="left" vertical="center" textRotation="0" wrapText="true" indent="0" shrinkToFit="false"/>
      <protection locked="true" hidden="false"/>
    </xf>
    <xf numFmtId="164" fontId="30" fillId="6" borderId="3" xfId="0" applyFont="true" applyBorder="true" applyAlignment="true" applyProtection="false">
      <alignment horizontal="center" vertical="center" textRotation="0" wrapText="true" indent="0" shrinkToFit="false"/>
      <protection locked="true" hidden="false"/>
    </xf>
    <xf numFmtId="164" fontId="31" fillId="6" borderId="3" xfId="0" applyFont="true" applyBorder="true" applyAlignment="true" applyProtection="false">
      <alignment horizontal="left" vertical="center" textRotation="0" wrapText="true" indent="0" shrinkToFit="false"/>
      <protection locked="true" hidden="false"/>
    </xf>
    <xf numFmtId="169" fontId="30" fillId="6" borderId="3" xfId="0" applyFont="true" applyBorder="true" applyAlignment="true" applyProtection="false">
      <alignment horizontal="center" vertical="center" textRotation="0" wrapText="true" indent="0" shrinkToFit="false"/>
      <protection locked="true" hidden="false"/>
    </xf>
    <xf numFmtId="166" fontId="22" fillId="7" borderId="3" xfId="0" applyFont="true" applyBorder="true" applyAlignment="true" applyProtection="false">
      <alignment horizontal="center" vertical="center" textRotation="0" wrapText="true" indent="0" shrinkToFit="false"/>
      <protection locked="true" hidden="false"/>
    </xf>
    <xf numFmtId="167" fontId="22" fillId="7" borderId="3" xfId="0" applyFont="true" applyBorder="true" applyAlignment="true" applyProtection="false">
      <alignment horizontal="center" vertical="center" textRotation="0" wrapText="true" indent="0" shrinkToFit="false"/>
      <protection locked="true" hidden="false"/>
    </xf>
    <xf numFmtId="164" fontId="25" fillId="8" borderId="3" xfId="0" applyFont="true" applyBorder="true" applyAlignment="true" applyProtection="false">
      <alignment horizontal="left" vertical="center" textRotation="0" wrapText="true" indent="0" shrinkToFit="false"/>
      <protection locked="true" hidden="false"/>
    </xf>
    <xf numFmtId="166" fontId="32" fillId="8" borderId="3" xfId="0" applyFont="true" applyBorder="true" applyAlignment="true" applyProtection="false">
      <alignment horizontal="center" vertical="center" textRotation="0" wrapText="true" indent="0" shrinkToFit="false"/>
      <protection locked="true" hidden="false"/>
    </xf>
    <xf numFmtId="167" fontId="32" fillId="8" borderId="3" xfId="0" applyFont="true" applyBorder="true" applyAlignment="true" applyProtection="false">
      <alignment horizontal="center" vertical="center" textRotation="0" wrapText="true" indent="0" shrinkToFit="false"/>
      <protection locked="true" hidden="false"/>
    </xf>
    <xf numFmtId="164" fontId="25" fillId="8" borderId="3" xfId="0" applyFont="true" applyBorder="true" applyAlignment="true" applyProtection="false">
      <alignment horizontal="center" vertical="center" textRotation="0" wrapText="true" indent="0" shrinkToFit="false"/>
      <protection locked="true" hidden="false"/>
    </xf>
    <xf numFmtId="164" fontId="33" fillId="5" borderId="3" xfId="0" applyFont="true" applyBorder="true" applyAlignment="true" applyProtection="false">
      <alignment horizontal="left" vertical="center" textRotation="0" wrapText="true" indent="0" shrinkToFit="false"/>
      <protection locked="true" hidden="false"/>
    </xf>
    <xf numFmtId="166" fontId="34" fillId="5" borderId="3" xfId="0" applyFont="true" applyBorder="true" applyAlignment="true" applyProtection="false">
      <alignment horizontal="center" vertical="center" textRotation="0" wrapText="true" indent="0" shrinkToFit="false"/>
      <protection locked="true" hidden="false"/>
    </xf>
    <xf numFmtId="164" fontId="5" fillId="5" borderId="3"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33" fillId="2" borderId="3" xfId="0" applyFont="true" applyBorder="true" applyAlignment="true" applyProtection="false">
      <alignment horizontal="left" vertical="center" textRotation="0" wrapText="true" indent="0" shrinkToFit="false"/>
      <protection locked="true" hidden="false"/>
    </xf>
    <xf numFmtId="170" fontId="22" fillId="2" borderId="3" xfId="0" applyFont="true" applyBorder="true" applyAlignment="true" applyProtection="false">
      <alignment horizontal="center" vertical="center" textRotation="0" wrapText="true" indent="0" shrinkToFit="false"/>
      <protection locked="true" hidden="false"/>
    </xf>
    <xf numFmtId="164" fontId="5" fillId="2" borderId="3" xfId="0" applyFont="true" applyBorder="true" applyAlignment="true" applyProtection="false">
      <alignment horizontal="center" vertical="center" textRotation="0" wrapText="true" indent="0" shrinkToFit="false"/>
      <protection locked="true" hidden="false"/>
    </xf>
    <xf numFmtId="164" fontId="35" fillId="5" borderId="5" xfId="0" applyFont="true" applyBorder="true" applyAlignment="true" applyProtection="false">
      <alignment horizontal="left" vertical="center" textRotation="0" wrapText="true" indent="0" shrinkToFit="false"/>
      <protection locked="true" hidden="false"/>
    </xf>
    <xf numFmtId="164" fontId="25" fillId="5" borderId="5" xfId="0" applyFont="true" applyBorder="true" applyAlignment="true" applyProtection="false">
      <alignment horizontal="left" vertical="center" textRotation="0" wrapText="true" indent="0" shrinkToFit="false"/>
      <protection locked="true" hidden="false"/>
    </xf>
    <xf numFmtId="164" fontId="21" fillId="5" borderId="5" xfId="0" applyFont="true" applyBorder="true" applyAlignment="true" applyProtection="false">
      <alignment horizontal="center" vertical="center" textRotation="0" wrapText="true" indent="0" shrinkToFit="false"/>
      <protection locked="true" hidden="false"/>
    </xf>
    <xf numFmtId="164" fontId="36" fillId="5" borderId="5" xfId="0" applyFont="true" applyBorder="true" applyAlignment="true" applyProtection="false">
      <alignment horizontal="center" vertical="center" textRotation="0" wrapText="true" indent="0" shrinkToFit="false"/>
      <protection locked="true" hidden="false"/>
    </xf>
    <xf numFmtId="164" fontId="37" fillId="5" borderId="5" xfId="0" applyFont="true" applyBorder="true" applyAlignment="true" applyProtection="false">
      <alignment horizontal="center" vertical="center" textRotation="0" wrapText="true" indent="0" shrinkToFit="false"/>
      <protection locked="true" hidden="false"/>
    </xf>
    <xf numFmtId="164" fontId="19" fillId="5" borderId="5" xfId="0" applyFont="true" applyBorder="true" applyAlignment="true" applyProtection="false">
      <alignment horizontal="left" vertical="center" textRotation="0" wrapText="true" indent="0" shrinkToFit="false"/>
      <protection locked="true" hidden="false"/>
    </xf>
    <xf numFmtId="164" fontId="38" fillId="2" borderId="3" xfId="0" applyFont="true" applyBorder="true" applyAlignment="true" applyProtection="false">
      <alignment horizontal="left" vertical="center" textRotation="0" wrapText="true" indent="0" shrinkToFit="false"/>
      <protection locked="true" hidden="false"/>
    </xf>
    <xf numFmtId="164" fontId="25" fillId="2" borderId="3" xfId="0" applyFont="true" applyBorder="true" applyAlignment="true" applyProtection="false">
      <alignment horizontal="left" vertical="center" textRotation="0" wrapText="true" indent="0" shrinkToFit="false"/>
      <protection locked="true" hidden="false"/>
    </xf>
    <xf numFmtId="164" fontId="21" fillId="2" borderId="3" xfId="0" applyFont="true" applyBorder="true" applyAlignment="true" applyProtection="false">
      <alignment horizontal="center" vertical="center" textRotation="0" wrapText="true" indent="0" shrinkToFit="false"/>
      <protection locked="true" hidden="false"/>
    </xf>
    <xf numFmtId="164" fontId="36" fillId="2" borderId="3" xfId="0" applyFont="true" applyBorder="true" applyAlignment="true" applyProtection="false">
      <alignment horizontal="center" vertical="center" textRotation="0" wrapText="true" indent="0" shrinkToFit="false"/>
      <protection locked="true" hidden="false"/>
    </xf>
    <xf numFmtId="164" fontId="37" fillId="2" borderId="3" xfId="0" applyFont="true" applyBorder="true" applyAlignment="true" applyProtection="false">
      <alignment horizontal="center" vertical="center" textRotation="0" wrapText="true" indent="0" shrinkToFit="false"/>
      <protection locked="true" hidden="false"/>
    </xf>
    <xf numFmtId="164" fontId="38" fillId="5" borderId="3" xfId="0" applyFont="true" applyBorder="true" applyAlignment="true" applyProtection="false">
      <alignment horizontal="left" vertical="center" textRotation="0" wrapText="true" indent="0" shrinkToFit="false"/>
      <protection locked="true" hidden="false"/>
    </xf>
    <xf numFmtId="164" fontId="21" fillId="5" borderId="3" xfId="0" applyFont="true" applyBorder="true" applyAlignment="true" applyProtection="false">
      <alignment horizontal="center" vertical="center" textRotation="0" wrapText="true" indent="0" shrinkToFit="false"/>
      <protection locked="true" hidden="false"/>
    </xf>
    <xf numFmtId="164" fontId="36" fillId="5" borderId="3" xfId="0" applyFont="true" applyBorder="true" applyAlignment="true" applyProtection="false">
      <alignment horizontal="center" vertical="center" textRotation="0" wrapText="true" indent="0" shrinkToFit="false"/>
      <protection locked="true" hidden="false"/>
    </xf>
    <xf numFmtId="164" fontId="37" fillId="5" borderId="3" xfId="0" applyFont="true" applyBorder="true" applyAlignment="true" applyProtection="false">
      <alignment horizontal="center" vertical="center" textRotation="0" wrapText="true" indent="0" shrinkToFit="false"/>
      <protection locked="true" hidden="false"/>
    </xf>
    <xf numFmtId="164" fontId="19" fillId="5" borderId="3" xfId="0" applyFont="true" applyBorder="true" applyAlignment="true" applyProtection="false">
      <alignment horizontal="left" vertical="center" textRotation="0" wrapText="true" indent="0" shrinkToFit="false"/>
      <protection locked="true" hidden="false"/>
    </xf>
    <xf numFmtId="164" fontId="35" fillId="2" borderId="5" xfId="0" applyFont="true" applyBorder="true" applyAlignment="true" applyProtection="false">
      <alignment horizontal="left" vertical="center" textRotation="0" wrapText="true" indent="0" shrinkToFit="false"/>
      <protection locked="true" hidden="false"/>
    </xf>
    <xf numFmtId="164" fontId="25" fillId="2" borderId="5" xfId="0" applyFont="true" applyBorder="true" applyAlignment="true" applyProtection="false">
      <alignment horizontal="left" vertical="center" textRotation="0" wrapText="true" indent="0" shrinkToFit="false"/>
      <protection locked="true" hidden="false"/>
    </xf>
    <xf numFmtId="164" fontId="21" fillId="2" borderId="5" xfId="0" applyFont="true" applyBorder="true" applyAlignment="true" applyProtection="false">
      <alignment horizontal="center" vertical="center" textRotation="0" wrapText="true" indent="0" shrinkToFit="false"/>
      <protection locked="true" hidden="false"/>
    </xf>
    <xf numFmtId="164" fontId="36" fillId="2" borderId="5" xfId="0" applyFont="true" applyBorder="true" applyAlignment="true" applyProtection="false">
      <alignment horizontal="center" vertical="center" textRotation="0" wrapText="true" indent="0" shrinkToFit="false"/>
      <protection locked="true" hidden="false"/>
    </xf>
    <xf numFmtId="164" fontId="37" fillId="2" borderId="5" xfId="0" applyFont="true" applyBorder="true" applyAlignment="true" applyProtection="false">
      <alignment horizontal="center" vertical="center" textRotation="0" wrapText="true" indent="0" shrinkToFit="false"/>
      <protection locked="true" hidden="false"/>
    </xf>
    <xf numFmtId="164" fontId="19" fillId="2" borderId="5" xfId="0" applyFont="true" applyBorder="true" applyAlignment="true" applyProtection="false">
      <alignment horizontal="left" vertical="center" textRotation="0" wrapText="true" indent="0" shrinkToFit="false"/>
      <protection locked="true" hidden="false"/>
    </xf>
    <xf numFmtId="164" fontId="19" fillId="3" borderId="3" xfId="0" applyFont="true" applyBorder="true" applyAlignment="true" applyProtection="false">
      <alignment horizontal="left" vertical="center" textRotation="0" wrapText="true" indent="0" shrinkToFit="false"/>
      <protection locked="true" hidden="false"/>
    </xf>
    <xf numFmtId="164" fontId="39" fillId="4" borderId="0" xfId="0" applyFont="true" applyBorder="true" applyAlignment="true" applyProtection="false">
      <alignment horizontal="left" vertical="center" textRotation="0" wrapText="true" indent="0" shrinkToFit="false"/>
      <protection locked="true" hidden="false"/>
    </xf>
    <xf numFmtId="164" fontId="15" fillId="5" borderId="3" xfId="0" applyFont="true" applyBorder="true" applyAlignment="true" applyProtection="false">
      <alignment horizontal="left" vertical="top" textRotation="0" wrapText="true" indent="0" shrinkToFit="false"/>
      <protection locked="true" hidden="false"/>
    </xf>
    <xf numFmtId="164" fontId="5" fillId="2" borderId="3" xfId="0" applyFont="true" applyBorder="true" applyAlignment="true" applyProtection="false">
      <alignment horizontal="left" vertical="top" textRotation="0" wrapText="true" indent="0" shrinkToFit="false"/>
      <protection locked="true" hidden="false"/>
    </xf>
    <xf numFmtId="164" fontId="40" fillId="8" borderId="3" xfId="0" applyFont="true" applyBorder="true" applyAlignment="true" applyProtection="false">
      <alignment horizontal="left" vertical="top" textRotation="0" wrapText="true" indent="0" shrinkToFit="false"/>
      <protection locked="true" hidden="false"/>
    </xf>
    <xf numFmtId="164" fontId="21" fillId="2" borderId="4" xfId="0" applyFont="true" applyBorder="true" applyAlignment="true" applyProtection="false">
      <alignment horizontal="left" vertical="center" textRotation="0" wrapText="true" indent="0" shrinkToFit="false"/>
      <protection locked="true" hidden="false"/>
    </xf>
    <xf numFmtId="168" fontId="30" fillId="6" borderId="3" xfId="0" applyFont="true" applyBorder="true" applyAlignment="true" applyProtection="false">
      <alignment horizontal="center" vertical="center" textRotation="0" wrapText="true" indent="0" shrinkToFit="false"/>
      <protection locked="true" hidden="false"/>
    </xf>
    <xf numFmtId="167" fontId="17" fillId="6" borderId="3" xfId="0" applyFont="true" applyBorder="true" applyAlignment="true" applyProtection="false">
      <alignment horizontal="center" vertical="center" textRotation="0" wrapText="true" indent="0" shrinkToFit="false"/>
      <protection locked="true" hidden="false"/>
    </xf>
    <xf numFmtId="167" fontId="30" fillId="6" borderId="3" xfId="0" applyFont="true" applyBorder="true" applyAlignment="true" applyProtection="false">
      <alignment horizontal="center" vertical="center" textRotation="0" wrapText="true" indent="0" shrinkToFit="false"/>
      <protection locked="true" hidden="false"/>
    </xf>
    <xf numFmtId="164" fontId="34" fillId="7" borderId="3" xfId="0" applyFont="true" applyBorder="true" applyAlignment="true" applyProtection="false">
      <alignment horizontal="center" vertical="center" textRotation="0" wrapText="true" indent="0" shrinkToFit="false"/>
      <protection locked="true" hidden="false"/>
    </xf>
    <xf numFmtId="171" fontId="9" fillId="7" borderId="3" xfId="0" applyFont="true" applyBorder="true" applyAlignment="true" applyProtection="false">
      <alignment horizontal="center" vertical="center" textRotation="0" wrapText="true" indent="0" shrinkToFit="false"/>
      <protection locked="true" hidden="false"/>
    </xf>
    <xf numFmtId="172" fontId="22" fillId="7" borderId="3" xfId="0" applyFont="true" applyBorder="true" applyAlignment="true" applyProtection="false">
      <alignment horizontal="center" vertical="center" textRotation="0" wrapText="true" indent="0" shrinkToFit="false"/>
      <protection locked="true" hidden="false"/>
    </xf>
    <xf numFmtId="164" fontId="10" fillId="6" borderId="3" xfId="0" applyFont="true" applyBorder="true" applyAlignment="true" applyProtection="false">
      <alignment horizontal="center" vertical="center" textRotation="0" wrapText="true" indent="0" shrinkToFit="false"/>
      <protection locked="true" hidden="false"/>
    </xf>
    <xf numFmtId="164" fontId="15" fillId="5" borderId="3" xfId="0" applyFont="true" applyBorder="true" applyAlignment="true" applyProtection="false">
      <alignment horizontal="left" vertical="center" textRotation="0" wrapText="true" indent="0" shrinkToFit="false"/>
      <protection locked="true" hidden="false"/>
    </xf>
    <xf numFmtId="164" fontId="21" fillId="2" borderId="3" xfId="0" applyFont="true" applyBorder="true" applyAlignment="true" applyProtection="false">
      <alignment horizontal="left" vertical="center" textRotation="0" wrapText="true" indent="0" shrinkToFit="false"/>
      <protection locked="true" hidden="false"/>
    </xf>
    <xf numFmtId="164" fontId="41" fillId="5" borderId="3" xfId="0" applyFont="true" applyBorder="true" applyAlignment="true" applyProtection="false">
      <alignment horizontal="left" vertical="center" textRotation="0" wrapText="true" indent="0" shrinkToFit="false"/>
      <protection locked="true" hidden="false"/>
    </xf>
    <xf numFmtId="164" fontId="21" fillId="5" borderId="3" xfId="0" applyFont="true" applyBorder="true" applyAlignment="true" applyProtection="false">
      <alignment horizontal="left" vertical="center" textRotation="0" wrapText="true" indent="0" shrinkToFit="false"/>
      <protection locked="true" hidden="false"/>
    </xf>
    <xf numFmtId="164" fontId="42" fillId="5" borderId="3" xfId="0" applyFont="true" applyBorder="true" applyAlignment="true" applyProtection="false">
      <alignment horizontal="center" vertical="center" textRotation="0" wrapText="true" indent="0" shrinkToFit="false"/>
      <protection locked="true" hidden="false"/>
    </xf>
    <xf numFmtId="164" fontId="41" fillId="2" borderId="3" xfId="0" applyFont="true" applyBorder="true" applyAlignment="true" applyProtection="false">
      <alignment horizontal="left" vertical="center" textRotation="0" wrapText="true" indent="0" shrinkToFit="false"/>
      <protection locked="true" hidden="false"/>
    </xf>
    <xf numFmtId="164" fontId="42" fillId="2" borderId="3" xfId="0" applyFont="true" applyBorder="true" applyAlignment="true" applyProtection="false">
      <alignment horizontal="center" vertical="center" textRotation="0" wrapText="true" indent="0" shrinkToFit="false"/>
      <protection locked="true" hidden="false"/>
    </xf>
    <xf numFmtId="164" fontId="43" fillId="2" borderId="3" xfId="0" applyFont="true" applyBorder="true" applyAlignment="true" applyProtection="false">
      <alignment horizontal="center" vertical="center" textRotation="0" wrapText="true" indent="0" shrinkToFit="false"/>
      <protection locked="true" hidden="false"/>
    </xf>
    <xf numFmtId="164" fontId="43" fillId="5" borderId="3" xfId="0" applyFont="true" applyBorder="true" applyAlignment="true" applyProtection="false">
      <alignment horizontal="center" vertical="center" textRotation="0" wrapText="true" indent="0" shrinkToFit="false"/>
      <protection locked="true" hidden="false"/>
    </xf>
    <xf numFmtId="166" fontId="36" fillId="7" borderId="3" xfId="0" applyFont="true" applyBorder="true" applyAlignment="true" applyProtection="false">
      <alignment horizontal="center" vertical="center" textRotation="0" wrapText="true" indent="0" shrinkToFit="false"/>
      <protection locked="true" hidden="false"/>
    </xf>
    <xf numFmtId="164" fontId="36" fillId="7" borderId="3" xfId="0" applyFont="true" applyBorder="true" applyAlignment="true" applyProtection="false">
      <alignment horizontal="center" vertical="center" textRotation="0" wrapText="true" indent="0" shrinkToFit="false"/>
      <protection locked="true" hidden="false"/>
    </xf>
    <xf numFmtId="164" fontId="44" fillId="6" borderId="3" xfId="0" applyFont="true" applyBorder="true" applyAlignment="true" applyProtection="false">
      <alignment horizontal="center" vertical="center" textRotation="0" wrapText="true" indent="0" shrinkToFit="false"/>
      <protection locked="true" hidden="false"/>
    </xf>
    <xf numFmtId="164" fontId="35" fillId="8" borderId="3" xfId="0" applyFont="true" applyBorder="true" applyAlignment="true" applyProtection="false">
      <alignment horizontal="left" vertical="center" textRotation="0" wrapText="true" indent="0" shrinkToFit="false"/>
      <protection locked="true" hidden="false"/>
    </xf>
    <xf numFmtId="164" fontId="45" fillId="2" borderId="4" xfId="0" applyFont="true" applyBorder="true" applyAlignment="true" applyProtection="false">
      <alignment horizontal="left" vertical="top" textRotation="0" wrapText="true" indent="0" shrinkToFit="false"/>
      <protection locked="true" hidden="false"/>
    </xf>
    <xf numFmtId="164" fontId="46" fillId="8" borderId="4" xfId="0" applyFont="true" applyBorder="true" applyAlignment="true" applyProtection="false">
      <alignment horizontal="left" vertical="top" textRotation="0" wrapText="true" indent="0" shrinkToFit="false"/>
      <protection locked="true" hidden="false"/>
    </xf>
    <xf numFmtId="164" fontId="46" fillId="2" borderId="4"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4711A"/>
      <rgbColor rgb="FF800080"/>
      <rgbColor rgb="FF1B7A52"/>
      <rgbColor rgb="FFBFBFBF"/>
      <rgbColor rgb="FF808080"/>
      <rgbColor rgb="FF9999FF"/>
      <rgbColor rgb="FFC0504D"/>
      <rgbColor rgb="FFFFF3D4"/>
      <rgbColor rgb="FFF7F7F7"/>
      <rgbColor rgb="FF660066"/>
      <rgbColor rgb="FFFF8080"/>
      <rgbColor rgb="FF0B4F9E"/>
      <rgbColor rgb="FFD9D9D9"/>
      <rgbColor rgb="FF000080"/>
      <rgbColor rgb="FFFF00FF"/>
      <rgbColor rgb="FFFFFF00"/>
      <rgbColor rgb="FF00FFFF"/>
      <rgbColor rgb="FF800080"/>
      <rgbColor rgb="FF800000"/>
      <rgbColor rgb="FF008080"/>
      <rgbColor rgb="FF0000FF"/>
      <rgbColor rgb="FF00CCFF"/>
      <rgbColor rgb="FFF4F1EE"/>
      <rgbColor rgb="FFE2E2E2"/>
      <rgbColor rgb="FFFBEAE4"/>
      <rgbColor rgb="FFB3B3B3"/>
      <rgbColor rgb="FFFF99CC"/>
      <rgbColor rgb="FFCC99FF"/>
      <rgbColor rgb="FFFAFAFA"/>
      <rgbColor rgb="FF3366FF"/>
      <rgbColor rgb="FF33CCCC"/>
      <rgbColor rgb="FF99CC00"/>
      <rgbColor rgb="FFFFCC00"/>
      <rgbColor rgb="FFFF9900"/>
      <rgbColor rgb="FFE4572E"/>
      <rgbColor rgb="FF4F81BD"/>
      <rgbColor rgb="FF8C8C8C"/>
      <rgbColor rgb="FF003366"/>
      <rgbColor rgb="FF339966"/>
      <rgbColor rgb="FF003300"/>
      <rgbColor rgb="FF1F1F1F"/>
      <rgbColor rgb="FF993300"/>
      <rgbColor rgb="FF993366"/>
      <rgbColor rgb="FF333399"/>
      <rgbColor rgb="FF3D3D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Kalori harian vs target</a:t>
            </a:r>
          </a:p>
        </c:rich>
      </c:tx>
      <c:overlay val="0"/>
      <c:spPr>
        <a:noFill/>
        <a:ln w="0">
          <a:noFill/>
        </a:ln>
      </c:spPr>
    </c:title>
    <c:autoTitleDeleted val="0"/>
    <c:plotArea>
      <c:barChart>
        <c:barDir val="col"/>
        <c:grouping val="clustered"/>
        <c:varyColors val="0"/>
        <c:ser>
          <c:idx val="0"/>
          <c:order val="0"/>
          <c:tx>
            <c:strRef>
              <c:f>'Streak &amp; Badges'!B5</c:f>
              <c:strCache>
                <c:ptCount val="1"/>
                <c:pt idx="0">
                  <c:v>Kcal</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'Streak &amp; Badges'!$A$6:$A$12</c:f>
              <c:strCache>
                <c:ptCount val="7"/>
                <c:pt idx="0">
                  <c:v>Isnin / Monday</c:v>
                </c:pt>
                <c:pt idx="1">
                  <c:v>Selasa / Tuesday</c:v>
                </c:pt>
                <c:pt idx="2">
                  <c:v>Rabu / Wednesday</c:v>
                </c:pt>
                <c:pt idx="3">
                  <c:v>Khamis / Thursday</c:v>
                </c:pt>
                <c:pt idx="4">
                  <c:v>Jumaat / Friday</c:v>
                </c:pt>
                <c:pt idx="5">
                  <c:v>Sabtu / Saturday</c:v>
                </c:pt>
                <c:pt idx="6">
                  <c:v>Ahad / Sunday</c:v>
                </c:pt>
              </c:strCache>
            </c:strRef>
          </c:cat>
          <c:val>
            <c:numRef>
              <c:f>'Streak &amp; Badges'!$B$6:$B$12</c:f>
              <c:numCache>
                <c:formatCode>0</c:formatCode>
                <c:ptCount val="7"/>
                <c:pt idx="0">
                  <c:v>0</c:v>
                </c:pt>
                <c:pt idx="1">
                  <c:v>0</c:v>
                </c:pt>
                <c:pt idx="2">
                  <c:v>0</c:v>
                </c:pt>
                <c:pt idx="3">
                  <c:v>0</c:v>
                </c:pt>
                <c:pt idx="4">
                  <c:v>0</c:v>
                </c:pt>
                <c:pt idx="5">
                  <c:v>0</c:v>
                </c:pt>
                <c:pt idx="6">
                  <c:v>0</c:v>
                </c:pt>
              </c:numCache>
            </c:numRef>
          </c:val>
        </c:ser>
        <c:ser>
          <c:idx val="1"/>
          <c:order val="1"/>
          <c:tx>
            <c:strRef>
              <c:f>'Streak &amp; Badges'!E5</c:f>
              <c:strCache>
                <c:ptCount val="1"/>
                <c:pt idx="0">
                  <c:v>Target</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'Streak &amp; Badges'!$A$6:$A$12</c:f>
              <c:strCache>
                <c:ptCount val="7"/>
                <c:pt idx="0">
                  <c:v>Isnin / Monday</c:v>
                </c:pt>
                <c:pt idx="1">
                  <c:v>Selasa / Tuesday</c:v>
                </c:pt>
                <c:pt idx="2">
                  <c:v>Rabu / Wednesday</c:v>
                </c:pt>
                <c:pt idx="3">
                  <c:v>Khamis / Thursday</c:v>
                </c:pt>
                <c:pt idx="4">
                  <c:v>Jumaat / Friday</c:v>
                </c:pt>
                <c:pt idx="5">
                  <c:v>Sabtu / Saturday</c:v>
                </c:pt>
                <c:pt idx="6">
                  <c:v>Ahad / Sunday</c:v>
                </c:pt>
              </c:strCache>
            </c:strRef>
          </c:cat>
          <c:val>
            <c:numRef>
              <c:f>'Streak &amp; Badges'!$E$6:$E$12</c:f>
              <c:numCache>
                <c:formatCode>0</c:formatCode>
                <c:ptCount val="7"/>
                <c:pt idx="0">
                  <c:v>1500</c:v>
                </c:pt>
                <c:pt idx="1">
                  <c:v>1500</c:v>
                </c:pt>
                <c:pt idx="2">
                  <c:v>1500</c:v>
                </c:pt>
                <c:pt idx="3">
                  <c:v>1500</c:v>
                </c:pt>
                <c:pt idx="4">
                  <c:v>1500</c:v>
                </c:pt>
                <c:pt idx="5">
                  <c:v>1500</c:v>
                </c:pt>
                <c:pt idx="6">
                  <c:v>1500</c:v>
                </c:pt>
              </c:numCache>
            </c:numRef>
          </c:val>
        </c:ser>
        <c:gapWidth val="150"/>
        <c:overlap val="0"/>
        <c:axId val="10941906"/>
        <c:axId val="86166272"/>
      </c:barChart>
      <c:catAx>
        <c:axId val="10941906"/>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6166272"/>
        <c:crosses val="autoZero"/>
        <c:auto val="1"/>
        <c:lblAlgn val="ctr"/>
        <c:lblOffset val="100"/>
        <c:noMultiLvlLbl val="0"/>
      </c:catAx>
      <c:valAx>
        <c:axId val="86166272"/>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kcal</a:t>
                </a:r>
              </a:p>
            </c:rich>
          </c:tx>
          <c:overlay val="0"/>
          <c:spPr>
            <a:noFill/>
            <a:ln w="0">
              <a:noFill/>
            </a:ln>
          </c:spPr>
        </c:title>
        <c:numFmt formatCode="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094190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Protein harian (g)</a:t>
            </a:r>
          </a:p>
        </c:rich>
      </c:tx>
      <c:overlay val="0"/>
      <c:spPr>
        <a:noFill/>
        <a:ln w="0">
          <a:noFill/>
        </a:ln>
      </c:spPr>
    </c:title>
    <c:autoTitleDeleted val="0"/>
    <c:plotArea>
      <c:barChart>
        <c:barDir val="col"/>
        <c:grouping val="clustered"/>
        <c:varyColors val="0"/>
        <c:ser>
          <c:idx val="0"/>
          <c:order val="0"/>
          <c:tx>
            <c:strRef>
              <c:f>'Streak &amp; Badges'!C5</c:f>
              <c:strCache>
                <c:ptCount val="1"/>
                <c:pt idx="0">
                  <c:v>Protein (g)</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'Streak &amp; Badges'!$A$6:$A$12</c:f>
              <c:strCache>
                <c:ptCount val="7"/>
                <c:pt idx="0">
                  <c:v>Isnin / Monday</c:v>
                </c:pt>
                <c:pt idx="1">
                  <c:v>Selasa / Tuesday</c:v>
                </c:pt>
                <c:pt idx="2">
                  <c:v>Rabu / Wednesday</c:v>
                </c:pt>
                <c:pt idx="3">
                  <c:v>Khamis / Thursday</c:v>
                </c:pt>
                <c:pt idx="4">
                  <c:v>Jumaat / Friday</c:v>
                </c:pt>
                <c:pt idx="5">
                  <c:v>Sabtu / Saturday</c:v>
                </c:pt>
                <c:pt idx="6">
                  <c:v>Ahad / Sunday</c:v>
                </c:pt>
              </c:strCache>
            </c:strRef>
          </c:cat>
          <c:val>
            <c:numRef>
              <c:f>'Streak &amp; Badges'!$C$6:$C$12</c:f>
              <c:numCache>
                <c:formatCode>0.0</c:formatCode>
                <c:ptCount val="7"/>
                <c:pt idx="0">
                  <c:v>0</c:v>
                </c:pt>
                <c:pt idx="1">
                  <c:v>0</c:v>
                </c:pt>
                <c:pt idx="2">
                  <c:v>0</c:v>
                </c:pt>
                <c:pt idx="3">
                  <c:v>0</c:v>
                </c:pt>
                <c:pt idx="4">
                  <c:v>0</c:v>
                </c:pt>
                <c:pt idx="5">
                  <c:v>0</c:v>
                </c:pt>
                <c:pt idx="6">
                  <c:v>0</c:v>
                </c:pt>
              </c:numCache>
            </c:numRef>
          </c:val>
        </c:ser>
        <c:gapWidth val="150"/>
        <c:overlap val="0"/>
        <c:axId val="14009919"/>
        <c:axId val="55863614"/>
      </c:barChart>
      <c:catAx>
        <c:axId val="14009919"/>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5863614"/>
        <c:crosses val="autoZero"/>
        <c:auto val="1"/>
        <c:lblAlgn val="ctr"/>
        <c:lblOffset val="100"/>
        <c:noMultiLvlLbl val="0"/>
      </c:catAx>
      <c:valAx>
        <c:axId val="55863614"/>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g</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400991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Berat / Weight (kg)</a:t>
            </a:r>
          </a:p>
        </c:rich>
      </c:tx>
      <c:overlay val="0"/>
      <c:spPr>
        <a:noFill/>
        <a:ln w="0">
          <a:noFill/>
        </a:ln>
      </c:spPr>
    </c:title>
    <c:autoTitleDeleted val="0"/>
    <c:plotArea>
      <c:lineChart>
        <c:grouping val="standard"/>
        <c:varyColors val="0"/>
        <c:ser>
          <c:idx val="0"/>
          <c:order val="0"/>
          <c:tx>
            <c:strRef>
              <c:f>'Body Composition'!C5</c:f>
              <c:strCache>
                <c:ptCount val="1"/>
                <c:pt idx="0">
                  <c:v>Weight (kg)</c:v>
                </c:pt>
              </c:strCache>
            </c:strRef>
          </c:tx>
          <c:spPr>
            <a:solidFill>
              <a:srgbClr val="ffffff"/>
            </a:solidFill>
            <a:ln w="0">
              <a:solidFill>
                <a:srgbClr val="ffffff"/>
              </a:solidFill>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'Body Composition'!$A$6:$A$17</c:f>
              <c:strCache>
                <c:ptCount val="12"/>
                <c:pt idx="0">
                  <c:v>Week 1</c:v>
                </c:pt>
                <c:pt idx="1">
                  <c:v>Week 2</c:v>
                </c:pt>
                <c:pt idx="2">
                  <c:v>Week 3</c:v>
                </c:pt>
                <c:pt idx="3">
                  <c:v>Week 4</c:v>
                </c:pt>
                <c:pt idx="4">
                  <c:v>Week 5</c:v>
                </c:pt>
                <c:pt idx="5">
                  <c:v>Week 6</c:v>
                </c:pt>
                <c:pt idx="6">
                  <c:v>Week 7</c:v>
                </c:pt>
                <c:pt idx="7">
                  <c:v>Week 8</c:v>
                </c:pt>
                <c:pt idx="8">
                  <c:v>Week 9</c:v>
                </c:pt>
                <c:pt idx="9">
                  <c:v>Week 10</c:v>
                </c:pt>
                <c:pt idx="10">
                  <c:v>Week 11</c:v>
                </c:pt>
                <c:pt idx="11">
                  <c:v>Week 12</c:v>
                </c:pt>
              </c:strCache>
            </c:strRef>
          </c:cat>
          <c:val>
            <c:numRef>
              <c:f>'Body Composition'!$C$6:$C$17</c:f>
              <c:numCache>
                <c:formatCode>General</c:formatCode>
                <c:ptCount val="12"/>
              </c:numCache>
            </c:numRef>
          </c:val>
          <c:smooth val="1"/>
        </c:ser>
        <c:hiLowLines>
          <c:spPr>
            <a:ln w="0">
              <a:noFill/>
            </a:ln>
          </c:spPr>
        </c:hiLowLines>
        <c:marker val="0"/>
        <c:axId val="36101141"/>
        <c:axId val="35602835"/>
      </c:lineChart>
      <c:catAx>
        <c:axId val="3610114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5602835"/>
        <c:crosses val="autoZero"/>
        <c:auto val="1"/>
        <c:lblAlgn val="ctr"/>
        <c:lblOffset val="100"/>
        <c:noMultiLvlLbl val="0"/>
      </c:catAx>
      <c:valAx>
        <c:axId val="35602835"/>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kg</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610114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3</xdr:row>
      <xdr:rowOff>0</xdr:rowOff>
    </xdr:from>
    <xdr:to>
      <xdr:col>15</xdr:col>
      <xdr:colOff>101880</xdr:colOff>
      <xdr:row>13</xdr:row>
      <xdr:rowOff>107640</xdr:rowOff>
    </xdr:to>
    <xdr:graphicFrame>
      <xdr:nvGraphicFramePr>
        <xdr:cNvPr id="0" name="Chart 1"/>
        <xdr:cNvGraphicFramePr/>
      </xdr:nvGraphicFramePr>
      <xdr:xfrm>
        <a:off x="7119000" y="1000080"/>
        <a:ext cx="61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19</xdr:row>
      <xdr:rowOff>0</xdr:rowOff>
    </xdr:from>
    <xdr:to>
      <xdr:col>15</xdr:col>
      <xdr:colOff>101880</xdr:colOff>
      <xdr:row>30</xdr:row>
      <xdr:rowOff>12600</xdr:rowOff>
    </xdr:to>
    <xdr:graphicFrame>
      <xdr:nvGraphicFramePr>
        <xdr:cNvPr id="1" name="Chart 2"/>
        <xdr:cNvGraphicFramePr/>
      </xdr:nvGraphicFramePr>
      <xdr:xfrm>
        <a:off x="7119000" y="5791320"/>
        <a:ext cx="61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4</xdr:row>
      <xdr:rowOff>0</xdr:rowOff>
    </xdr:from>
    <xdr:to>
      <xdr:col>21</xdr:col>
      <xdr:colOff>4680</xdr:colOff>
      <xdr:row>14</xdr:row>
      <xdr:rowOff>69840</xdr:rowOff>
    </xdr:to>
    <xdr:graphicFrame>
      <xdr:nvGraphicFramePr>
        <xdr:cNvPr id="2" name="Chart 1"/>
        <xdr:cNvGraphicFramePr/>
      </xdr:nvGraphicFramePr>
      <xdr:xfrm>
        <a:off x="14074200" y="1409760"/>
        <a:ext cx="61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4572E"/>
    <pageSetUpPr fitToPage="false"/>
  </sheetPr>
  <dimension ref="A1:K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4"/>
    <col collapsed="false" customWidth="true" hidden="false" outlineLevel="0" max="3" min="3" style="1" width="26"/>
    <col collapsed="false" customWidth="true" hidden="false" outlineLevel="0" max="4" min="4" style="1" width="16"/>
    <col collapsed="false" customWidth="true" hidden="false" outlineLevel="0" max="5" min="5" style="1" width="3"/>
    <col collapsed="false" customWidth="true" hidden="false" outlineLevel="0" max="8" min="6" style="1" width="12"/>
    <col collapsed="false" customWidth="true" hidden="false" outlineLevel="0" max="9" min="9" style="1" width="13"/>
    <col collapsed="false" customWidth="true" hidden="false" outlineLevel="0" max="11" min="10" style="1" width="12"/>
  </cols>
  <sheetData>
    <row r="1" customFormat="false" ht="42" hidden="false" customHeight="true" outlineLevel="0" collapsed="false">
      <c r="A1" s="2" t="s">
        <v>0</v>
      </c>
      <c r="B1" s="2"/>
      <c r="C1" s="2"/>
      <c r="D1" s="2"/>
      <c r="E1" s="2"/>
      <c r="F1" s="2"/>
      <c r="G1" s="2"/>
      <c r="H1" s="2"/>
      <c r="I1" s="3"/>
      <c r="J1" s="3"/>
      <c r="K1" s="3"/>
    </row>
    <row r="2" customFormat="false" ht="21.75" hidden="false" customHeight="true" outlineLevel="0" collapsed="false">
      <c r="A2" s="4" t="s">
        <v>1</v>
      </c>
      <c r="B2" s="4"/>
      <c r="C2" s="4"/>
      <c r="D2" s="4"/>
      <c r="E2" s="4"/>
      <c r="F2" s="4"/>
      <c r="G2" s="4"/>
      <c r="H2" s="4"/>
      <c r="I2" s="3"/>
      <c r="J2" s="3"/>
      <c r="K2" s="3"/>
    </row>
    <row r="3" customFormat="false" ht="21.75" hidden="false" customHeight="true" outlineLevel="0" collapsed="false">
      <c r="A3" s="3"/>
      <c r="B3" s="3"/>
      <c r="C3" s="3"/>
      <c r="D3" s="3"/>
      <c r="E3" s="3"/>
      <c r="F3" s="3"/>
      <c r="G3" s="3"/>
      <c r="H3" s="3"/>
      <c r="I3" s="3"/>
      <c r="J3" s="3"/>
      <c r="K3" s="3"/>
    </row>
    <row r="4" customFormat="false" ht="25.5" hidden="false" customHeight="true" outlineLevel="0" collapsed="false">
      <c r="A4" s="5" t="s">
        <v>2</v>
      </c>
      <c r="B4" s="5"/>
      <c r="C4" s="5"/>
      <c r="D4" s="5"/>
      <c r="E4" s="3"/>
      <c r="F4" s="5" t="s">
        <v>3</v>
      </c>
      <c r="G4" s="5"/>
      <c r="H4" s="5"/>
      <c r="I4" s="3"/>
      <c r="J4" s="3"/>
      <c r="K4" s="3"/>
    </row>
    <row r="5" customFormat="false" ht="25.5" hidden="false" customHeight="true" outlineLevel="0" collapsed="false">
      <c r="A5" s="6" t="s">
        <v>4</v>
      </c>
      <c r="B5" s="6" t="s">
        <v>5</v>
      </c>
      <c r="C5" s="6" t="s">
        <v>4</v>
      </c>
      <c r="D5" s="6" t="s">
        <v>5</v>
      </c>
      <c r="E5" s="3"/>
      <c r="F5" s="6" t="s">
        <v>6</v>
      </c>
      <c r="G5" s="6" t="s">
        <v>7</v>
      </c>
      <c r="H5" s="6" t="s">
        <v>8</v>
      </c>
      <c r="I5" s="6" t="s">
        <v>9</v>
      </c>
      <c r="J5" s="6" t="s">
        <v>10</v>
      </c>
      <c r="K5" s="6" t="s">
        <v>11</v>
      </c>
    </row>
    <row r="6" customFormat="false" ht="21.75" hidden="false" customHeight="true" outlineLevel="0" collapsed="false">
      <c r="A6" s="7" t="s">
        <v>12</v>
      </c>
      <c r="B6" s="8" t="n">
        <v>62</v>
      </c>
      <c r="C6" s="7" t="s">
        <v>13</v>
      </c>
      <c r="D6" s="8" t="n">
        <v>55</v>
      </c>
      <c r="E6" s="3"/>
      <c r="F6" s="9" t="s">
        <v>14</v>
      </c>
      <c r="G6" s="10" t="str">
        <f aca="false">IFERROR(ROUND(AVERAGEIF(WeekKcal,"&gt;0"),0),"")</f>
        <v/>
      </c>
      <c r="H6" s="11" t="str">
        <f aca="false">IFERROR(ROUND(AVERAGEIF(WeekPro,"&gt;0"),0),"")</f>
        <v/>
      </c>
      <c r="I6" s="12" t="str">
        <f aca="false">IF(N(G6)=0,"—",IF(G6&lt;TgtKcal-400,"▼ Kurang",IF(G6&lt;=TgtKcal,"✓ Ya","▲ Lebih")))</f>
        <v>—</v>
      </c>
      <c r="J6" s="13" t="str">
        <f aca="false">IF(INDEX(BodyWt,1)="","",INDEX(BodyWt,1))</f>
        <v/>
      </c>
      <c r="K6" s="14" t="str">
        <f aca="false">"—"</f>
        <v>—</v>
      </c>
    </row>
    <row r="7" customFormat="false" ht="21.75" hidden="false" customHeight="true" outlineLevel="0" collapsed="false">
      <c r="A7" s="7" t="s">
        <v>15</v>
      </c>
      <c r="B7" s="8"/>
      <c r="C7" s="7" t="s">
        <v>16</v>
      </c>
      <c r="D7" s="8"/>
      <c r="E7" s="3"/>
      <c r="F7" s="9" t="s">
        <v>17</v>
      </c>
      <c r="G7" s="15" t="s">
        <v>18</v>
      </c>
      <c r="H7" s="16" t="s">
        <v>18</v>
      </c>
      <c r="I7" s="12" t="str">
        <f aca="false">IF(N(G7)=0,"—",IF(G7&lt;TgtKcal-400,"▼ Kurang",IF(G7&lt;=TgtKcal,"✓ Ya","▲ Lebih")))</f>
        <v>—</v>
      </c>
      <c r="J7" s="13" t="str">
        <f aca="false">IF(INDEX(BodyWt,2)="","",INDEX(BodyWt,2))</f>
        <v/>
      </c>
      <c r="K7" s="17" t="str">
        <f aca="false">IF(OR(INDEX(BodyWt,2)="",INDEX(BodyWt,1)=""),"—",IF(INDEX(BodyWt,2)&lt;INDEX(BodyWt,1),"▼ turun",IF(INDEX(BodyWt,2)&gt;INDEX(BodyWt,1),"▲ naik","= sama")))</f>
        <v>—</v>
      </c>
    </row>
    <row r="8" customFormat="false" ht="21.75" hidden="false" customHeight="true" outlineLevel="0" collapsed="false">
      <c r="A8" s="7" t="s">
        <v>19</v>
      </c>
      <c r="B8" s="18" t="n">
        <f aca="false">IFERROR(ROUND(10*B6+6.25*B7-5*D7-161,0),"isi height + age")</f>
        <v>459</v>
      </c>
      <c r="C8" s="7" t="s">
        <v>20</v>
      </c>
      <c r="D8" s="19" t="n">
        <f aca="false">IFERROR(ROUND(B8*1.2,0),"")</f>
        <v>551</v>
      </c>
      <c r="E8" s="3"/>
      <c r="F8" s="9" t="s">
        <v>21</v>
      </c>
      <c r="G8" s="15" t="s">
        <v>18</v>
      </c>
      <c r="H8" s="16" t="s">
        <v>18</v>
      </c>
      <c r="I8" s="12" t="str">
        <f aca="false">IF(N(G8)=0,"—",IF(G8&lt;TgtKcal-400,"▼ Kurang",IF(G8&lt;=TgtKcal,"✓ Ya","▲ Lebih")))</f>
        <v>—</v>
      </c>
      <c r="J8" s="13" t="str">
        <f aca="false">IF(INDEX(BodyWt,3)="","",INDEX(BodyWt,3))</f>
        <v/>
      </c>
      <c r="K8" s="17" t="str">
        <f aca="false">IF(OR(INDEX(BodyWt,3)="",INDEX(BodyWt,2)=""),"—",IF(INDEX(BodyWt,3)&lt;INDEX(BodyWt,2),"▼ turun",IF(INDEX(BodyWt,3)&gt;INDEX(BodyWt,2),"▲ naik","= sama")))</f>
        <v>—</v>
      </c>
    </row>
    <row r="9" customFormat="false" ht="21.75" hidden="false" customHeight="true" outlineLevel="0" collapsed="false">
      <c r="A9" s="7" t="s">
        <v>22</v>
      </c>
      <c r="B9" s="19" t="n">
        <f aca="false">IFERROR(ROUND(B8*1.55,0),"")</f>
        <v>711</v>
      </c>
      <c r="C9" s="7" t="s">
        <v>23</v>
      </c>
      <c r="D9" s="19" t="n">
        <f aca="false">IFERROR(ROUND(B8*1.725,0),"")</f>
        <v>792</v>
      </c>
      <c r="E9" s="3"/>
      <c r="F9" s="9" t="s">
        <v>24</v>
      </c>
      <c r="G9" s="15" t="s">
        <v>18</v>
      </c>
      <c r="H9" s="16" t="s">
        <v>18</v>
      </c>
      <c r="I9" s="12" t="str">
        <f aca="false">IF(N(G9)=0,"—",IF(G9&lt;TgtKcal-400,"▼ Kurang",IF(G9&lt;=TgtKcal,"✓ Ya","▲ Lebih")))</f>
        <v>—</v>
      </c>
      <c r="J9" s="13" t="str">
        <f aca="false">IF(INDEX(BodyWt,4)="","",INDEX(BodyWt,4))</f>
        <v/>
      </c>
      <c r="K9" s="17" t="str">
        <f aca="false">IF(OR(INDEX(BodyWt,4)="",INDEX(BodyWt,3)=""),"—",IF(INDEX(BodyWt,4)&lt;INDEX(BodyWt,3),"▼ turun",IF(INDEX(BodyWt,4)&gt;INDEX(BodyWt,3),"▲ naik","= sama")))</f>
        <v>—</v>
      </c>
    </row>
    <row r="10" customFormat="false" ht="21.75" hidden="false" customHeight="true" outlineLevel="0" collapsed="false">
      <c r="A10" s="7" t="s">
        <v>25</v>
      </c>
      <c r="B10" s="8"/>
      <c r="C10" s="7" t="s">
        <v>26</v>
      </c>
      <c r="D10" s="13" t="n">
        <f aca="false">IFERROR(ROUND(B6*(1-B10/100),1),"")</f>
        <v>62</v>
      </c>
      <c r="E10" s="3"/>
      <c r="F10" s="9" t="s">
        <v>27</v>
      </c>
      <c r="G10" s="15" t="s">
        <v>18</v>
      </c>
      <c r="H10" s="16" t="s">
        <v>18</v>
      </c>
      <c r="I10" s="12" t="str">
        <f aca="false">IF(N(G10)=0,"—",IF(G10&lt;TgtKcal-400,"▼ Kurang",IF(G10&lt;=TgtKcal,"✓ Ya","▲ Lebih")))</f>
        <v>—</v>
      </c>
      <c r="J10" s="13" t="str">
        <f aca="false">IF(INDEX(BodyWt,5)="","",INDEX(BodyWt,5))</f>
        <v/>
      </c>
      <c r="K10" s="17" t="str">
        <f aca="false">IF(OR(INDEX(BodyWt,5)="",INDEX(BodyWt,4)=""),"—",IF(INDEX(BodyWt,5)&lt;INDEX(BodyWt,4),"▼ turun",IF(INDEX(BodyWt,5)&gt;INDEX(BodyWt,4),"▲ naik","= sama")))</f>
        <v>—</v>
      </c>
    </row>
    <row r="11" customFormat="false" ht="21.75" hidden="false" customHeight="true" outlineLevel="0" collapsed="false">
      <c r="A11" s="7" t="s">
        <v>28</v>
      </c>
      <c r="B11" s="20"/>
      <c r="C11" s="7" t="s">
        <v>29</v>
      </c>
      <c r="D11" s="21" t="n">
        <f aca="false">IFERROR(B11+84,"")</f>
        <v>84</v>
      </c>
      <c r="E11" s="3"/>
      <c r="F11" s="9" t="s">
        <v>30</v>
      </c>
      <c r="G11" s="15" t="s">
        <v>18</v>
      </c>
      <c r="H11" s="16" t="s">
        <v>18</v>
      </c>
      <c r="I11" s="12" t="str">
        <f aca="false">IF(N(G11)=0,"—",IF(G11&lt;TgtKcal-400,"▼ Kurang",IF(G11&lt;=TgtKcal,"✓ Ya","▲ Lebih")))</f>
        <v>—</v>
      </c>
      <c r="J11" s="13" t="str">
        <f aca="false">IF(INDEX(BodyWt,6)="","",INDEX(BodyWt,6))</f>
        <v/>
      </c>
      <c r="K11" s="17" t="str">
        <f aca="false">IF(OR(INDEX(BodyWt,6)="",INDEX(BodyWt,5)=""),"—",IF(INDEX(BodyWt,6)&lt;INDEX(BodyWt,5),"▼ turun",IF(INDEX(BodyWt,6)&gt;INDEX(BodyWt,5),"▲ naik","= sama")))</f>
        <v>—</v>
      </c>
    </row>
    <row r="12" customFormat="false" ht="21.75" hidden="false" customHeight="true" outlineLevel="0" collapsed="false">
      <c r="A12" s="3"/>
      <c r="B12" s="3"/>
      <c r="C12" s="3"/>
      <c r="D12" s="3"/>
      <c r="E12" s="3"/>
      <c r="F12" s="9" t="s">
        <v>31</v>
      </c>
      <c r="G12" s="15" t="s">
        <v>18</v>
      </c>
      <c r="H12" s="16" t="s">
        <v>18</v>
      </c>
      <c r="I12" s="12" t="str">
        <f aca="false">IF(N(G12)=0,"—",IF(G12&lt;TgtKcal-400,"▼ Kurang",IF(G12&lt;=TgtKcal,"✓ Ya","▲ Lebih")))</f>
        <v>—</v>
      </c>
      <c r="J12" s="13" t="str">
        <f aca="false">IF(INDEX(BodyWt,7)="","",INDEX(BodyWt,7))</f>
        <v/>
      </c>
      <c r="K12" s="17" t="str">
        <f aca="false">IF(OR(INDEX(BodyWt,7)="",INDEX(BodyWt,6)=""),"—",IF(INDEX(BodyWt,7)&lt;INDEX(BodyWt,6),"▼ turun",IF(INDEX(BodyWt,7)&gt;INDEX(BodyWt,6),"▲ naik","= sama")))</f>
        <v>—</v>
      </c>
    </row>
    <row r="13" customFormat="false" ht="21.75" hidden="false" customHeight="true" outlineLevel="0" collapsed="false">
      <c r="A13" s="5" t="s">
        <v>32</v>
      </c>
      <c r="B13" s="5"/>
      <c r="C13" s="5"/>
      <c r="D13" s="5"/>
      <c r="E13" s="3"/>
      <c r="F13" s="9" t="s">
        <v>33</v>
      </c>
      <c r="G13" s="15" t="s">
        <v>18</v>
      </c>
      <c r="H13" s="16" t="s">
        <v>18</v>
      </c>
      <c r="I13" s="12" t="str">
        <f aca="false">IF(N(G13)=0,"—",IF(G13&lt;TgtKcal-400,"▼ Kurang",IF(G13&lt;=TgtKcal,"✓ Ya","▲ Lebih")))</f>
        <v>—</v>
      </c>
      <c r="J13" s="13" t="str">
        <f aca="false">IF(INDEX(BodyWt,8)="","",INDEX(BodyWt,8))</f>
        <v/>
      </c>
      <c r="K13" s="17" t="str">
        <f aca="false">IF(OR(INDEX(BodyWt,8)="",INDEX(BodyWt,7)=""),"—",IF(INDEX(BodyWt,8)&lt;INDEX(BodyWt,7),"▼ turun",IF(INDEX(BodyWt,8)&gt;INDEX(BodyWt,7),"▲ naik","= sama")))</f>
        <v>—</v>
      </c>
    </row>
    <row r="14" customFormat="false" ht="21.75" hidden="false" customHeight="true" outlineLevel="0" collapsed="false">
      <c r="A14" s="6" t="s">
        <v>34</v>
      </c>
      <c r="B14" s="6" t="s">
        <v>35</v>
      </c>
      <c r="C14" s="6" t="s">
        <v>36</v>
      </c>
      <c r="D14" s="6" t="s">
        <v>37</v>
      </c>
      <c r="E14" s="3"/>
      <c r="F14" s="9" t="s">
        <v>38</v>
      </c>
      <c r="G14" s="15" t="s">
        <v>18</v>
      </c>
      <c r="H14" s="16" t="s">
        <v>18</v>
      </c>
      <c r="I14" s="12" t="str">
        <f aca="false">IF(N(G14)=0,"—",IF(G14&lt;TgtKcal-400,"▼ Kurang",IF(G14&lt;=TgtKcal,"✓ Ya","▲ Lebih")))</f>
        <v>—</v>
      </c>
      <c r="J14" s="13" t="str">
        <f aca="false">IF(INDEX(BodyWt,9)="","",INDEX(BodyWt,9))</f>
        <v/>
      </c>
      <c r="K14" s="17" t="str">
        <f aca="false">IF(OR(INDEX(BodyWt,9)="",INDEX(BodyWt,8)=""),"—",IF(INDEX(BodyWt,9)&lt;INDEX(BodyWt,8),"▼ turun",IF(INDEX(BodyWt,9)&gt;INDEX(BodyWt,8),"▲ naik","= sama")))</f>
        <v>—</v>
      </c>
    </row>
    <row r="15" customFormat="false" ht="21.75" hidden="false" customHeight="true" outlineLevel="0" collapsed="false">
      <c r="A15" s="7" t="s">
        <v>39</v>
      </c>
      <c r="B15" s="22" t="n">
        <v>1500</v>
      </c>
      <c r="C15" s="23" t="s">
        <v>40</v>
      </c>
      <c r="D15" s="24" t="s">
        <v>41</v>
      </c>
      <c r="E15" s="3"/>
      <c r="F15" s="9" t="s">
        <v>42</v>
      </c>
      <c r="G15" s="15" t="s">
        <v>18</v>
      </c>
      <c r="H15" s="16" t="s">
        <v>18</v>
      </c>
      <c r="I15" s="12" t="str">
        <f aca="false">IF(N(G15)=0,"—",IF(G15&lt;TgtKcal-400,"▼ Kurang",IF(G15&lt;=TgtKcal,"✓ Ya","▲ Lebih")))</f>
        <v>—</v>
      </c>
      <c r="J15" s="13" t="str">
        <f aca="false">IF(INDEX(BodyWt,10)="","",INDEX(BodyWt,10))</f>
        <v/>
      </c>
      <c r="K15" s="17" t="str">
        <f aca="false">IF(OR(INDEX(BodyWt,10)="",INDEX(BodyWt,9)=""),"—",IF(INDEX(BodyWt,10)&lt;INDEX(BodyWt,9),"▼ turun",IF(INDEX(BodyWt,10)&gt;INDEX(BodyWt,9),"▲ naik","= sama")))</f>
        <v>—</v>
      </c>
    </row>
    <row r="16" customFormat="false" ht="21.75" hidden="false" customHeight="true" outlineLevel="0" collapsed="false">
      <c r="A16" s="7" t="s">
        <v>43</v>
      </c>
      <c r="B16" s="22" t="n">
        <v>90</v>
      </c>
      <c r="C16" s="23" t="s">
        <v>44</v>
      </c>
      <c r="D16" s="24" t="s">
        <v>45</v>
      </c>
      <c r="E16" s="3"/>
      <c r="F16" s="9" t="s">
        <v>46</v>
      </c>
      <c r="G16" s="15" t="s">
        <v>18</v>
      </c>
      <c r="H16" s="16" t="s">
        <v>18</v>
      </c>
      <c r="I16" s="12" t="str">
        <f aca="false">IF(N(G16)=0,"—",IF(G16&lt;TgtKcal-400,"▼ Kurang",IF(G16&lt;=TgtKcal,"✓ Ya","▲ Lebih")))</f>
        <v>—</v>
      </c>
      <c r="J16" s="13" t="str">
        <f aca="false">IF(INDEX(BodyWt,11)="","",INDEX(BodyWt,11))</f>
        <v/>
      </c>
      <c r="K16" s="17" t="str">
        <f aca="false">IF(OR(INDEX(BodyWt,11)="",INDEX(BodyWt,10)=""),"—",IF(INDEX(BodyWt,11)&lt;INDEX(BodyWt,10),"▼ turun",IF(INDEX(BodyWt,11)&gt;INDEX(BodyWt,10),"▲ naik","= sama")))</f>
        <v>—</v>
      </c>
    </row>
    <row r="17" customFormat="false" ht="21.75" hidden="false" customHeight="true" outlineLevel="0" collapsed="false">
      <c r="A17" s="7" t="s">
        <v>47</v>
      </c>
      <c r="B17" s="22" t="n">
        <v>130</v>
      </c>
      <c r="C17" s="23" t="s">
        <v>48</v>
      </c>
      <c r="D17" s="24" t="s">
        <v>49</v>
      </c>
      <c r="E17" s="3"/>
      <c r="F17" s="9" t="s">
        <v>50</v>
      </c>
      <c r="G17" s="15" t="s">
        <v>18</v>
      </c>
      <c r="H17" s="16" t="s">
        <v>18</v>
      </c>
      <c r="I17" s="12" t="str">
        <f aca="false">IF(N(G17)=0,"—",IF(G17&lt;TgtKcal-400,"▼ Kurang",IF(G17&lt;=TgtKcal,"✓ Ya","▲ Lebih")))</f>
        <v>—</v>
      </c>
      <c r="J17" s="13" t="str">
        <f aca="false">IF(INDEX(BodyWt,12)="","",INDEX(BodyWt,12))</f>
        <v/>
      </c>
      <c r="K17" s="17" t="str">
        <f aca="false">IF(OR(INDEX(BodyWt,12)="",INDEX(BodyWt,11)=""),"—",IF(INDEX(BodyWt,12)&lt;INDEX(BodyWt,11),"▼ turun",IF(INDEX(BodyWt,12)&gt;INDEX(BodyWt,11),"▲ naik","= sama")))</f>
        <v>—</v>
      </c>
    </row>
    <row r="18" customFormat="false" ht="24" hidden="false" customHeight="true" outlineLevel="0" collapsed="false">
      <c r="A18" s="7" t="s">
        <v>51</v>
      </c>
      <c r="B18" s="22" t="n">
        <v>50</v>
      </c>
      <c r="C18" s="23" t="s">
        <v>52</v>
      </c>
      <c r="D18" s="24" t="s">
        <v>53</v>
      </c>
      <c r="E18" s="3"/>
      <c r="F18" s="25" t="s">
        <v>54</v>
      </c>
      <c r="G18" s="25"/>
      <c r="H18" s="25"/>
      <c r="I18" s="25"/>
      <c r="J18" s="25"/>
      <c r="K18" s="25"/>
    </row>
    <row r="19" customFormat="false" ht="24" hidden="false" customHeight="true" outlineLevel="0" collapsed="false">
      <c r="A19" s="7" t="s">
        <v>55</v>
      </c>
      <c r="B19" s="22" t="n">
        <v>30</v>
      </c>
      <c r="C19" s="23" t="s">
        <v>56</v>
      </c>
      <c r="D19" s="24" t="s">
        <v>57</v>
      </c>
      <c r="E19" s="3"/>
      <c r="F19" s="3"/>
      <c r="G19" s="3"/>
      <c r="H19" s="3"/>
      <c r="I19" s="3"/>
      <c r="J19" s="3"/>
      <c r="K19" s="3"/>
    </row>
    <row r="20" customFormat="false" ht="24" hidden="false" customHeight="true" outlineLevel="0" collapsed="false">
      <c r="A20" s="7" t="s">
        <v>58</v>
      </c>
      <c r="B20" s="22" t="n">
        <v>2500</v>
      </c>
      <c r="C20" s="23" t="s">
        <v>59</v>
      </c>
      <c r="D20" s="24" t="s">
        <v>60</v>
      </c>
      <c r="E20" s="3"/>
      <c r="F20" s="3"/>
      <c r="G20" s="3"/>
      <c r="H20" s="3"/>
      <c r="I20" s="3"/>
      <c r="J20" s="3"/>
      <c r="K20" s="3"/>
    </row>
    <row r="21" customFormat="false" ht="24" hidden="false" customHeight="true" outlineLevel="0" collapsed="false">
      <c r="A21" s="7" t="s">
        <v>61</v>
      </c>
      <c r="B21" s="22" t="n">
        <v>1000</v>
      </c>
      <c r="C21" s="23" t="s">
        <v>62</v>
      </c>
      <c r="D21" s="24" t="s">
        <v>63</v>
      </c>
      <c r="E21" s="3"/>
      <c r="F21" s="3"/>
      <c r="G21" s="3"/>
      <c r="H21" s="3"/>
      <c r="I21" s="3"/>
      <c r="J21" s="3"/>
      <c r="K21" s="3"/>
    </row>
    <row r="22" customFormat="false" ht="21.75" hidden="false" customHeight="true" outlineLevel="0" collapsed="false">
      <c r="A22" s="3"/>
      <c r="B22" s="3"/>
      <c r="C22" s="3"/>
      <c r="D22" s="3"/>
      <c r="E22" s="3"/>
      <c r="F22" s="3"/>
      <c r="G22" s="3"/>
      <c r="H22" s="3"/>
      <c r="I22" s="3"/>
      <c r="J22" s="3"/>
      <c r="K22" s="3"/>
    </row>
    <row r="23" customFormat="false" ht="25.5" hidden="false" customHeight="true" outlineLevel="0" collapsed="false">
      <c r="A23" s="5" t="s">
        <v>64</v>
      </c>
      <c r="B23" s="5"/>
      <c r="C23" s="5"/>
      <c r="D23" s="5"/>
      <c r="E23" s="5"/>
      <c r="F23" s="5"/>
      <c r="G23" s="5"/>
      <c r="H23" s="5"/>
      <c r="I23" s="3"/>
      <c r="J23" s="3"/>
      <c r="K23" s="3"/>
    </row>
    <row r="24" customFormat="false" ht="27.75" hidden="false" customHeight="true" outlineLevel="0" collapsed="false">
      <c r="A24" s="26" t="s">
        <v>65</v>
      </c>
      <c r="B24" s="26"/>
      <c r="C24" s="26"/>
      <c r="D24" s="26"/>
      <c r="E24" s="26"/>
      <c r="F24" s="26"/>
      <c r="G24" s="26"/>
      <c r="H24" s="26"/>
      <c r="I24" s="3"/>
      <c r="J24" s="3"/>
      <c r="K24" s="3"/>
    </row>
    <row r="25" customFormat="false" ht="27.75" hidden="false" customHeight="true" outlineLevel="0" collapsed="false">
      <c r="A25" s="26" t="s">
        <v>66</v>
      </c>
      <c r="B25" s="26"/>
      <c r="C25" s="26"/>
      <c r="D25" s="26"/>
      <c r="E25" s="26"/>
      <c r="F25" s="26"/>
      <c r="G25" s="26"/>
      <c r="H25" s="26"/>
      <c r="I25" s="3"/>
      <c r="J25" s="3"/>
      <c r="K25" s="3"/>
    </row>
    <row r="26" customFormat="false" ht="27.75" hidden="false" customHeight="true" outlineLevel="0" collapsed="false">
      <c r="A26" s="26" t="s">
        <v>67</v>
      </c>
      <c r="B26" s="26"/>
      <c r="C26" s="26"/>
      <c r="D26" s="26"/>
      <c r="E26" s="26"/>
      <c r="F26" s="26"/>
      <c r="G26" s="26"/>
      <c r="H26" s="26"/>
      <c r="I26" s="3"/>
      <c r="J26" s="3"/>
      <c r="K26" s="3"/>
    </row>
    <row r="27" customFormat="false" ht="27.75" hidden="false" customHeight="true" outlineLevel="0" collapsed="false">
      <c r="A27" s="26" t="s">
        <v>68</v>
      </c>
      <c r="B27" s="26"/>
      <c r="C27" s="26"/>
      <c r="D27" s="26"/>
      <c r="E27" s="26"/>
      <c r="F27" s="26"/>
      <c r="G27" s="26"/>
      <c r="H27" s="26"/>
      <c r="I27" s="3"/>
      <c r="J27" s="3"/>
      <c r="K27" s="3"/>
    </row>
    <row r="28" customFormat="false" ht="27.75" hidden="false" customHeight="true" outlineLevel="0" collapsed="false">
      <c r="A28" s="26" t="s">
        <v>69</v>
      </c>
      <c r="B28" s="26"/>
      <c r="C28" s="26"/>
      <c r="D28" s="26"/>
      <c r="E28" s="26"/>
      <c r="F28" s="26"/>
      <c r="G28" s="26"/>
      <c r="H28" s="26"/>
      <c r="I28" s="3"/>
      <c r="J28" s="3"/>
      <c r="K28" s="3"/>
    </row>
    <row r="29" customFormat="false" ht="27.75" hidden="false" customHeight="true" outlineLevel="0" collapsed="false">
      <c r="A29" s="26" t="s">
        <v>70</v>
      </c>
      <c r="B29" s="26"/>
      <c r="C29" s="26"/>
      <c r="D29" s="26"/>
      <c r="E29" s="26"/>
      <c r="F29" s="26"/>
      <c r="G29" s="26"/>
      <c r="H29" s="26"/>
      <c r="I29" s="3"/>
      <c r="J29" s="3"/>
      <c r="K29" s="3"/>
    </row>
    <row r="30" customFormat="false" ht="27.75" hidden="false" customHeight="true" outlineLevel="0" collapsed="false">
      <c r="A30" s="26" t="s">
        <v>71</v>
      </c>
      <c r="B30" s="26"/>
      <c r="C30" s="26"/>
      <c r="D30" s="26"/>
      <c r="E30" s="26"/>
      <c r="F30" s="26"/>
      <c r="G30" s="26"/>
      <c r="H30" s="26"/>
      <c r="I30" s="3"/>
      <c r="J30" s="3"/>
      <c r="K30" s="3"/>
    </row>
    <row r="31" customFormat="false" ht="27.75" hidden="false" customHeight="true" outlineLevel="0" collapsed="false">
      <c r="A31" s="26" t="s">
        <v>72</v>
      </c>
      <c r="B31" s="26"/>
      <c r="C31" s="26"/>
      <c r="D31" s="26"/>
      <c r="E31" s="26"/>
      <c r="F31" s="26"/>
      <c r="G31" s="26"/>
      <c r="H31" s="26"/>
      <c r="I31" s="3"/>
      <c r="J31" s="3"/>
      <c r="K31" s="3"/>
    </row>
  </sheetData>
  <mergeCells count="15">
    <mergeCell ref="A1:H1"/>
    <mergeCell ref="A2:H2"/>
    <mergeCell ref="A4:D4"/>
    <mergeCell ref="F4:H4"/>
    <mergeCell ref="A13:D13"/>
    <mergeCell ref="F18:K18"/>
    <mergeCell ref="A23:H23"/>
    <mergeCell ref="A24:H24"/>
    <mergeCell ref="A25:H25"/>
    <mergeCell ref="A26:H26"/>
    <mergeCell ref="A27:H27"/>
    <mergeCell ref="A28:H28"/>
    <mergeCell ref="A29:H29"/>
    <mergeCell ref="A30:H30"/>
    <mergeCell ref="A31:H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4572E"/>
    <pageSetUpPr fitToPage="fals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2"/>
    <col collapsed="false" customWidth="true" hidden="false" outlineLevel="0" max="3" min="3" style="0" width="13"/>
    <col collapsed="false" customWidth="true" hidden="false" outlineLevel="0" max="6" min="4" style="0" width="11"/>
    <col collapsed="false" customWidth="true" hidden="false" outlineLevel="0" max="7" min="7" style="0" width="20"/>
    <col collapsed="false" customWidth="true" hidden="false" outlineLevel="0" max="8" min="8" style="0" width="3"/>
    <col collapsed="false" customWidth="true" hidden="false" outlineLevel="0" max="9" min="9" style="0" width="26"/>
    <col collapsed="false" customWidth="true" hidden="false" outlineLevel="0" max="10" min="10" style="0" width="16"/>
  </cols>
  <sheetData>
    <row r="1" customFormat="false" ht="42" hidden="false" customHeight="true" outlineLevel="0" collapsed="false">
      <c r="A1" s="2" t="s">
        <v>73</v>
      </c>
      <c r="B1" s="2"/>
      <c r="C1" s="2"/>
      <c r="D1" s="2"/>
      <c r="E1" s="2"/>
      <c r="F1" s="2"/>
      <c r="G1" s="2"/>
    </row>
    <row r="2" customFormat="false" ht="21.75" hidden="false" customHeight="true" outlineLevel="0" collapsed="false">
      <c r="A2" s="4" t="s">
        <v>74</v>
      </c>
      <c r="B2" s="4"/>
      <c r="C2" s="4"/>
      <c r="D2" s="4"/>
      <c r="E2" s="4"/>
      <c r="F2" s="4"/>
      <c r="G2" s="4"/>
    </row>
    <row r="4" customFormat="false" ht="25.5" hidden="false" customHeight="true" outlineLevel="0" collapsed="false">
      <c r="A4" s="5" t="s">
        <v>75</v>
      </c>
      <c r="B4" s="5"/>
      <c r="C4" s="5"/>
      <c r="D4" s="5"/>
      <c r="E4" s="5"/>
      <c r="F4" s="5"/>
      <c r="G4" s="5"/>
    </row>
    <row r="5" customFormat="false" ht="25.5" hidden="false" customHeight="true" outlineLevel="0" collapsed="false">
      <c r="A5" s="6" t="s">
        <v>76</v>
      </c>
      <c r="B5" s="6" t="s">
        <v>77</v>
      </c>
      <c r="C5" s="6" t="s">
        <v>43</v>
      </c>
      <c r="D5" s="6" t="s">
        <v>78</v>
      </c>
      <c r="E5" s="6" t="s">
        <v>35</v>
      </c>
      <c r="F5" s="6" t="s">
        <v>79</v>
      </c>
      <c r="G5" s="6" t="s">
        <v>80</v>
      </c>
    </row>
    <row r="6" customFormat="false" ht="21.75" hidden="false" customHeight="true" outlineLevel="0" collapsed="false">
      <c r="A6" s="7" t="s">
        <v>81</v>
      </c>
      <c r="B6" s="27" t="n">
        <f aca="false">N('Weekly Meal Schedule'!E12)</f>
        <v>0</v>
      </c>
      <c r="C6" s="28" t="n">
        <f aca="false">N('Weekly Meal Schedule'!F12)</f>
        <v>0</v>
      </c>
      <c r="D6" s="29" t="n">
        <f aca="false">COUNTIF('Weekly Meal Schedule'!C6:C11,"*Salmon*")</f>
        <v>0</v>
      </c>
      <c r="E6" s="30" t="n">
        <f aca="false">TgtKcal</f>
        <v>1500</v>
      </c>
      <c r="F6" s="31" t="n">
        <f aca="false">IF(B6&gt;0,1,0)</f>
        <v>0</v>
      </c>
      <c r="G6" s="32" t="str">
        <f aca="false">IF(B6=0,"—",IF(B6&lt;TgtKcal-400,"▼ Kurang sangat",IF(B6&lt;=TgtKcal,"✓ Ikut target",IF(B6&lt;=TgtKcal+250,"~ Dekat","▲ Lebih"))))</f>
        <v>—</v>
      </c>
    </row>
    <row r="7" customFormat="false" ht="21.75" hidden="false" customHeight="true" outlineLevel="0" collapsed="false">
      <c r="A7" s="7" t="s">
        <v>82</v>
      </c>
      <c r="B7" s="27" t="n">
        <f aca="false">N('Weekly Meal Schedule'!E24)</f>
        <v>0</v>
      </c>
      <c r="C7" s="28" t="n">
        <f aca="false">N('Weekly Meal Schedule'!F24)</f>
        <v>0</v>
      </c>
      <c r="D7" s="29" t="n">
        <f aca="false">COUNTIF('Weekly Meal Schedule'!C18:C23,"*Salmon*")</f>
        <v>0</v>
      </c>
      <c r="E7" s="30" t="n">
        <f aca="false">TgtKcal</f>
        <v>1500</v>
      </c>
      <c r="F7" s="31" t="n">
        <f aca="false">IF(B7&gt;0,F6+1,0)</f>
        <v>0</v>
      </c>
      <c r="G7" s="32" t="str">
        <f aca="false">IF(B7=0,"—",IF(B7&lt;TgtKcal-400,"▼ Kurang sangat",IF(B7&lt;=TgtKcal,"✓ Ikut target",IF(B7&lt;=TgtKcal+250,"~ Dekat","▲ Lebih"))))</f>
        <v>—</v>
      </c>
    </row>
    <row r="8" customFormat="false" ht="21.75" hidden="false" customHeight="true" outlineLevel="0" collapsed="false">
      <c r="A8" s="7" t="s">
        <v>83</v>
      </c>
      <c r="B8" s="27" t="n">
        <f aca="false">N('Weekly Meal Schedule'!E36)</f>
        <v>0</v>
      </c>
      <c r="C8" s="28" t="n">
        <f aca="false">N('Weekly Meal Schedule'!F36)</f>
        <v>0</v>
      </c>
      <c r="D8" s="29" t="n">
        <f aca="false">COUNTIF('Weekly Meal Schedule'!C30:C35,"*Salmon*")</f>
        <v>0</v>
      </c>
      <c r="E8" s="30" t="n">
        <f aca="false">TgtKcal</f>
        <v>1500</v>
      </c>
      <c r="F8" s="31" t="n">
        <f aca="false">IF(B8&gt;0,F7+1,0)</f>
        <v>0</v>
      </c>
      <c r="G8" s="32" t="str">
        <f aca="false">IF(B8=0,"—",IF(B8&lt;TgtKcal-400,"▼ Kurang sangat",IF(B8&lt;=TgtKcal,"✓ Ikut target",IF(B8&lt;=TgtKcal+250,"~ Dekat","▲ Lebih"))))</f>
        <v>—</v>
      </c>
    </row>
    <row r="9" customFormat="false" ht="21.75" hidden="false" customHeight="true" outlineLevel="0" collapsed="false">
      <c r="A9" s="7" t="s">
        <v>84</v>
      </c>
      <c r="B9" s="27" t="n">
        <f aca="false">N('Weekly Meal Schedule'!E48)</f>
        <v>0</v>
      </c>
      <c r="C9" s="28" t="n">
        <f aca="false">N('Weekly Meal Schedule'!F48)</f>
        <v>0</v>
      </c>
      <c r="D9" s="29" t="n">
        <f aca="false">COUNTIF('Weekly Meal Schedule'!C42:C47,"*Salmon*")</f>
        <v>0</v>
      </c>
      <c r="E9" s="30" t="n">
        <f aca="false">TgtKcal</f>
        <v>1500</v>
      </c>
      <c r="F9" s="31" t="n">
        <f aca="false">IF(B9&gt;0,F8+1,0)</f>
        <v>0</v>
      </c>
      <c r="G9" s="32" t="str">
        <f aca="false">IF(B9=0,"—",IF(B9&lt;TgtKcal-400,"▼ Kurang sangat",IF(B9&lt;=TgtKcal,"✓ Ikut target",IF(B9&lt;=TgtKcal+250,"~ Dekat","▲ Lebih"))))</f>
        <v>—</v>
      </c>
    </row>
    <row r="10" customFormat="false" ht="21.75" hidden="false" customHeight="true" outlineLevel="0" collapsed="false">
      <c r="A10" s="7" t="s">
        <v>85</v>
      </c>
      <c r="B10" s="27" t="n">
        <f aca="false">N('Weekly Meal Schedule'!E60)</f>
        <v>0</v>
      </c>
      <c r="C10" s="28" t="n">
        <f aca="false">N('Weekly Meal Schedule'!F60)</f>
        <v>0</v>
      </c>
      <c r="D10" s="29" t="n">
        <f aca="false">COUNTIF('Weekly Meal Schedule'!C54:C59,"*Salmon*")</f>
        <v>0</v>
      </c>
      <c r="E10" s="30" t="n">
        <f aca="false">TgtKcal</f>
        <v>1500</v>
      </c>
      <c r="F10" s="31" t="n">
        <f aca="false">IF(B10&gt;0,F9+1,0)</f>
        <v>0</v>
      </c>
      <c r="G10" s="32" t="str">
        <f aca="false">IF(B10=0,"—",IF(B10&lt;TgtKcal-400,"▼ Kurang sangat",IF(B10&lt;=TgtKcal,"✓ Ikut target",IF(B10&lt;=TgtKcal+250,"~ Dekat","▲ Lebih"))))</f>
        <v>—</v>
      </c>
    </row>
    <row r="11" customFormat="false" ht="21.75" hidden="false" customHeight="true" outlineLevel="0" collapsed="false">
      <c r="A11" s="7" t="s">
        <v>86</v>
      </c>
      <c r="B11" s="27" t="n">
        <f aca="false">N('Weekly Meal Schedule'!E72)</f>
        <v>0</v>
      </c>
      <c r="C11" s="28" t="n">
        <f aca="false">N('Weekly Meal Schedule'!F72)</f>
        <v>0</v>
      </c>
      <c r="D11" s="29" t="n">
        <f aca="false">COUNTIF('Weekly Meal Schedule'!C66:C71,"*Salmon*")</f>
        <v>0</v>
      </c>
      <c r="E11" s="30" t="n">
        <f aca="false">TgtKcal</f>
        <v>1500</v>
      </c>
      <c r="F11" s="31" t="n">
        <f aca="false">IF(B11&gt;0,F10+1,0)</f>
        <v>0</v>
      </c>
      <c r="G11" s="32" t="str">
        <f aca="false">IF(B11=0,"—",IF(B11&lt;TgtKcal-400,"▼ Kurang sangat",IF(B11&lt;=TgtKcal,"✓ Ikut target",IF(B11&lt;=TgtKcal+250,"~ Dekat","▲ Lebih"))))</f>
        <v>—</v>
      </c>
    </row>
    <row r="12" customFormat="false" ht="21.75" hidden="false" customHeight="true" outlineLevel="0" collapsed="false">
      <c r="A12" s="7" t="s">
        <v>87</v>
      </c>
      <c r="B12" s="27" t="n">
        <f aca="false">N('Weekly Meal Schedule'!E84)</f>
        <v>0</v>
      </c>
      <c r="C12" s="28" t="n">
        <f aca="false">N('Weekly Meal Schedule'!F84)</f>
        <v>0</v>
      </c>
      <c r="D12" s="29" t="n">
        <f aca="false">COUNTIF('Weekly Meal Schedule'!C78:C83,"*Salmon*")</f>
        <v>0</v>
      </c>
      <c r="E12" s="30" t="n">
        <f aca="false">TgtKcal</f>
        <v>1500</v>
      </c>
      <c r="F12" s="31" t="n">
        <f aca="false">IF(B12&gt;0,F11+1,0)</f>
        <v>0</v>
      </c>
      <c r="G12" s="32" t="str">
        <f aca="false">IF(B12=0,"—",IF(B12&lt;TgtKcal-400,"▼ Kurang sangat",IF(B12&lt;=TgtKcal,"✓ Ikut target",IF(B12&lt;=TgtKcal+250,"~ Dekat","▲ Lebih"))))</f>
        <v>—</v>
      </c>
    </row>
    <row r="14" customFormat="false" ht="25.5" hidden="false" customHeight="true" outlineLevel="0" collapsed="false">
      <c r="A14" s="5" t="s">
        <v>88</v>
      </c>
      <c r="B14" s="5"/>
      <c r="C14" s="5"/>
      <c r="D14" s="5"/>
      <c r="E14" s="5"/>
      <c r="F14" s="5"/>
      <c r="G14" s="5"/>
    </row>
    <row r="15" customFormat="false" ht="30" hidden="false" customHeight="true" outlineLevel="0" collapsed="false">
      <c r="A15" s="33" t="s">
        <v>89</v>
      </c>
      <c r="B15" s="33" t="s">
        <v>90</v>
      </c>
      <c r="C15" s="33" t="s">
        <v>91</v>
      </c>
      <c r="D15" s="33" t="s">
        <v>92</v>
      </c>
      <c r="E15" s="33" t="s">
        <v>93</v>
      </c>
      <c r="F15" s="33" t="s">
        <v>94</v>
      </c>
      <c r="G15" s="33" t="s">
        <v>95</v>
      </c>
    </row>
    <row r="16" customFormat="false" ht="37.5" hidden="false" customHeight="true" outlineLevel="0" collapsed="false">
      <c r="A16" s="34" t="str">
        <f aca="false">COUNTIF(B6:B12,"&gt;0")&amp;" / 7"</f>
        <v>0 / 7</v>
      </c>
      <c r="B16" s="34" t="str">
        <f aca="false">COUNTIFS(B6:B12,"&gt;="&amp;TgtKcal-400,B6:B12,"&lt;="&amp;TgtKcal)&amp;" / 7"</f>
        <v>0 / 7</v>
      </c>
      <c r="C16" s="34" t="n">
        <f aca="false">SUM(D6:D12)</f>
        <v>0</v>
      </c>
      <c r="D16" s="34" t="n">
        <f aca="false">MAX(F6:F12)</f>
        <v>0</v>
      </c>
      <c r="E16" s="34" t="str">
        <f aca="false">COUNTIF(C6:C12,"&gt;="&amp;TgtPro)&amp;" / 7"</f>
        <v>0 / 7</v>
      </c>
      <c r="F16" s="34" t="str">
        <f aca="false">IFERROR(LOOKUP(9.99999999999999E+307,BodyWt),"—")</f>
        <v>—</v>
      </c>
      <c r="G16" s="34" t="str">
        <f aca="false">IFERROR(ROUND(LOOKUP(9.99999999999999E+307,BodyWt)-GoalWt,1),"—")</f>
        <v>—</v>
      </c>
    </row>
    <row r="18" customFormat="false" ht="25.5" hidden="false" customHeight="true" outlineLevel="0" collapsed="false">
      <c r="A18" s="5" t="s">
        <v>96</v>
      </c>
      <c r="B18" s="5"/>
      <c r="C18" s="5"/>
      <c r="D18" s="5"/>
      <c r="E18" s="5"/>
      <c r="F18" s="5"/>
      <c r="G18" s="5"/>
    </row>
    <row r="19" customFormat="false" ht="25.5" hidden="false" customHeight="true" outlineLevel="0" collapsed="false">
      <c r="A19" s="6" t="s">
        <v>97</v>
      </c>
      <c r="B19" s="6" t="s">
        <v>98</v>
      </c>
      <c r="C19" s="6"/>
      <c r="D19" s="6"/>
      <c r="E19" s="6"/>
      <c r="F19" s="6" t="s">
        <v>80</v>
      </c>
      <c r="G19" s="6"/>
    </row>
    <row r="20" customFormat="false" ht="21.75" hidden="false" customHeight="true" outlineLevel="0" collapsed="false">
      <c r="A20" s="35" t="s">
        <v>99</v>
      </c>
      <c r="B20" s="36" t="s">
        <v>100</v>
      </c>
      <c r="C20" s="36"/>
      <c r="D20" s="36"/>
      <c r="E20" s="36"/>
      <c r="F20" s="37" t="str">
        <f aca="false">IF(COUNTIF(B6:B12,"&gt;0")&gt;=1,"UNLOCKED","—")</f>
        <v>—</v>
      </c>
      <c r="G20" s="37"/>
    </row>
    <row r="21" customFormat="false" ht="21.75" hidden="false" customHeight="true" outlineLevel="0" collapsed="false">
      <c r="A21" s="35" t="s">
        <v>101</v>
      </c>
      <c r="B21" s="36" t="s">
        <v>102</v>
      </c>
      <c r="C21" s="36"/>
      <c r="D21" s="36"/>
      <c r="E21" s="36"/>
      <c r="F21" s="37" t="str">
        <f aca="false">IF(MAX(F6:F12)&gt;=3,"UNLOCKED","—")</f>
        <v>—</v>
      </c>
      <c r="G21" s="37"/>
    </row>
    <row r="22" customFormat="false" ht="21.75" hidden="false" customHeight="true" outlineLevel="0" collapsed="false">
      <c r="A22" s="35" t="s">
        <v>103</v>
      </c>
      <c r="B22" s="36" t="s">
        <v>104</v>
      </c>
      <c r="C22" s="36"/>
      <c r="D22" s="36"/>
      <c r="E22" s="36"/>
      <c r="F22" s="37" t="str">
        <f aca="false">IF(COUNTIF(B6:B12,"&gt;0")=7,"UNLOCKED","—")</f>
        <v>—</v>
      </c>
      <c r="G22" s="37"/>
    </row>
    <row r="23" customFormat="false" ht="21.75" hidden="false" customHeight="true" outlineLevel="0" collapsed="false">
      <c r="A23" s="35" t="s">
        <v>105</v>
      </c>
      <c r="B23" s="36" t="s">
        <v>106</v>
      </c>
      <c r="C23" s="36"/>
      <c r="D23" s="36"/>
      <c r="E23" s="36"/>
      <c r="F23" s="37" t="str">
        <f aca="false">IF(SUM(D6:D12)&gt;=3,"UNLOCKED","—")</f>
        <v>—</v>
      </c>
      <c r="G23" s="37"/>
    </row>
    <row r="24" customFormat="false" ht="21.75" hidden="false" customHeight="true" outlineLevel="0" collapsed="false">
      <c r="A24" s="35" t="s">
        <v>107</v>
      </c>
      <c r="B24" s="36" t="s">
        <v>108</v>
      </c>
      <c r="C24" s="36"/>
      <c r="D24" s="36"/>
      <c r="E24" s="36"/>
      <c r="F24" s="37" t="str">
        <f aca="false">IF(COUNTIF(C6:C12,"&gt;="&amp;TgtPro)&gt;=4,"UNLOCKED","—")</f>
        <v>—</v>
      </c>
      <c r="G24" s="37"/>
    </row>
    <row r="25" customFormat="false" ht="21.75" hidden="false" customHeight="true" outlineLevel="0" collapsed="false">
      <c r="A25" s="35" t="s">
        <v>109</v>
      </c>
      <c r="B25" s="36" t="s">
        <v>110</v>
      </c>
      <c r="C25" s="36"/>
      <c r="D25" s="36"/>
      <c r="E25" s="36"/>
      <c r="F25" s="37" t="str">
        <f aca="false">IF(COUNTIFS(B6:B12,"&gt;="&amp;TgtKcal-400,B6:B12,"&lt;="&amp;TgtKcal)&gt;=5,"UNLOCKED","—")</f>
        <v>—</v>
      </c>
      <c r="G25" s="37"/>
    </row>
    <row r="26" customFormat="false" ht="21.75" hidden="false" customHeight="true" outlineLevel="0" collapsed="false">
      <c r="A26" s="35" t="s">
        <v>111</v>
      </c>
      <c r="B26" s="36" t="s">
        <v>112</v>
      </c>
      <c r="C26" s="36"/>
      <c r="D26" s="36"/>
      <c r="E26" s="36"/>
      <c r="F26" s="37" t="str">
        <f aca="false">IF(IFERROR(StartWt-LOOKUP(9.99999999999999E+307,BodyWt),0)&gt;=1,"UNLOCKED","—")</f>
        <v>—</v>
      </c>
      <c r="G26" s="37"/>
    </row>
    <row r="27" customFormat="false" ht="21.75" hidden="false" customHeight="true" outlineLevel="0" collapsed="false">
      <c r="A27" s="35" t="s">
        <v>113</v>
      </c>
      <c r="B27" s="36" t="s">
        <v>114</v>
      </c>
      <c r="C27" s="36"/>
      <c r="D27" s="36"/>
      <c r="E27" s="36"/>
      <c r="F27" s="37" t="str">
        <f aca="false">IF(IFERROR(StartWt-LOOKUP(9.99999999999999E+307,BodyWt),0)&gt;=3,"UNLOCKED","—")</f>
        <v>—</v>
      </c>
      <c r="G27" s="37"/>
    </row>
    <row r="28" customFormat="false" ht="21.75" hidden="false" customHeight="true" outlineLevel="0" collapsed="false">
      <c r="A28" s="35" t="s">
        <v>115</v>
      </c>
      <c r="B28" s="36" t="s">
        <v>116</v>
      </c>
      <c r="C28" s="36"/>
      <c r="D28" s="36"/>
      <c r="E28" s="36"/>
      <c r="F28" s="37" t="str">
        <f aca="false">IF(IFERROR(LOOKUP(9.99999999999999E+307,BodyWt),99999)&lt;=GoalWt,"UNLOCKED","—")</f>
        <v>—</v>
      </c>
      <c r="G28" s="37"/>
    </row>
  </sheetData>
  <mergeCells count="25">
    <mergeCell ref="A1:G1"/>
    <mergeCell ref="A2:G2"/>
    <mergeCell ref="A4:G4"/>
    <mergeCell ref="A14:G14"/>
    <mergeCell ref="A18:G18"/>
    <mergeCell ref="B19:E19"/>
    <mergeCell ref="F19:G19"/>
    <mergeCell ref="B20:E20"/>
    <mergeCell ref="F20:G20"/>
    <mergeCell ref="B21:E21"/>
    <mergeCell ref="F21:G21"/>
    <mergeCell ref="B22:E22"/>
    <mergeCell ref="F22:G22"/>
    <mergeCell ref="B23:E23"/>
    <mergeCell ref="F23:G23"/>
    <mergeCell ref="B24:E24"/>
    <mergeCell ref="F24:G24"/>
    <mergeCell ref="B25:E25"/>
    <mergeCell ref="F25:G25"/>
    <mergeCell ref="B26:E26"/>
    <mergeCell ref="F26:G26"/>
    <mergeCell ref="B27:E27"/>
    <mergeCell ref="F27:G27"/>
    <mergeCell ref="B28:E28"/>
    <mergeCell ref="F28:G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L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9"/>
    <col collapsed="false" customWidth="true" hidden="false" outlineLevel="0" max="3" min="3" style="1" width="30"/>
    <col collapsed="false" customWidth="true" hidden="false" outlineLevel="0" max="4" min="4" style="1" width="12"/>
    <col collapsed="false" customWidth="true" hidden="false" outlineLevel="0" max="5" min="5" style="1" width="9"/>
    <col collapsed="false" customWidth="true" hidden="false" outlineLevel="0" max="7" min="6" style="1" width="11"/>
    <col collapsed="false" customWidth="true" hidden="false" outlineLevel="0" max="9" min="8" style="1" width="9"/>
    <col collapsed="false" customWidth="true" hidden="false" outlineLevel="0" max="10" min="10" style="1" width="24"/>
    <col collapsed="false" customWidth="true" hidden="false" outlineLevel="0" max="12" min="11" style="0" width="3"/>
  </cols>
  <sheetData>
    <row r="1" customFormat="false" ht="42" hidden="false" customHeight="true" outlineLevel="0" collapsed="false">
      <c r="A1" s="2" t="s">
        <v>117</v>
      </c>
      <c r="B1" s="2"/>
      <c r="C1" s="2"/>
      <c r="D1" s="2"/>
      <c r="E1" s="2"/>
      <c r="F1" s="2"/>
      <c r="G1" s="2"/>
      <c r="H1" s="2"/>
      <c r="I1" s="2"/>
      <c r="J1" s="2"/>
      <c r="K1" s="3"/>
      <c r="L1" s="3"/>
    </row>
    <row r="2" customFormat="false" ht="21.75" hidden="false" customHeight="true" outlineLevel="0" collapsed="false">
      <c r="A2" s="4" t="s">
        <v>118</v>
      </c>
      <c r="B2" s="4"/>
      <c r="C2" s="4"/>
      <c r="D2" s="4"/>
      <c r="E2" s="4"/>
      <c r="F2" s="4"/>
      <c r="G2" s="4"/>
      <c r="H2" s="4"/>
      <c r="I2" s="4"/>
      <c r="J2" s="4"/>
      <c r="K2" s="3"/>
      <c r="L2" s="3"/>
    </row>
    <row r="3" customFormat="false" ht="21.75" hidden="false" customHeight="true" outlineLevel="0" collapsed="false">
      <c r="A3" s="38" t="s">
        <v>119</v>
      </c>
      <c r="B3" s="38"/>
      <c r="C3" s="38"/>
      <c r="D3" s="38"/>
      <c r="E3" s="38"/>
      <c r="F3" s="38"/>
      <c r="G3" s="38"/>
      <c r="H3" s="38"/>
      <c r="I3" s="38"/>
      <c r="J3" s="38"/>
      <c r="K3" s="3"/>
      <c r="L3" s="3"/>
    </row>
    <row r="4" customFormat="false" ht="25.5" hidden="false" customHeight="true" outlineLevel="0" collapsed="false">
      <c r="A4" s="39" t="s">
        <v>120</v>
      </c>
      <c r="B4" s="39"/>
      <c r="C4" s="39"/>
      <c r="D4" s="39"/>
      <c r="E4" s="39"/>
      <c r="F4" s="39"/>
      <c r="G4" s="39"/>
      <c r="H4" s="39"/>
      <c r="I4" s="39"/>
      <c r="J4" s="39"/>
      <c r="K4" s="3"/>
      <c r="L4" s="3"/>
    </row>
    <row r="5" customFormat="false" ht="25.5" hidden="false" customHeight="true" outlineLevel="0" collapsed="false">
      <c r="A5" s="6" t="s">
        <v>121</v>
      </c>
      <c r="B5" s="6" t="s">
        <v>122</v>
      </c>
      <c r="C5" s="6" t="s">
        <v>123</v>
      </c>
      <c r="D5" s="6" t="s">
        <v>124</v>
      </c>
      <c r="E5" s="6" t="s">
        <v>77</v>
      </c>
      <c r="F5" s="6" t="s">
        <v>43</v>
      </c>
      <c r="G5" s="6" t="s">
        <v>125</v>
      </c>
      <c r="H5" s="6" t="s">
        <v>126</v>
      </c>
      <c r="I5" s="6" t="s">
        <v>127</v>
      </c>
      <c r="J5" s="6" t="s">
        <v>37</v>
      </c>
      <c r="K5" s="3"/>
      <c r="L5" s="3"/>
    </row>
    <row r="6" customFormat="false" ht="21.75" hidden="false" customHeight="true" outlineLevel="0" collapsed="false">
      <c r="A6" s="7" t="s">
        <v>128</v>
      </c>
      <c r="B6" s="40"/>
      <c r="C6" s="41"/>
      <c r="D6" s="42"/>
      <c r="E6" s="43" t="str">
        <f aca="false">IFERROR(INDEX(FoodKcal,MATCH(C6,FoodName,0))*D6,"")</f>
        <v/>
      </c>
      <c r="F6" s="44" t="str">
        <f aca="false">IFERROR(INDEX(FoodPro,MATCH(C6,FoodName,0))*D6,"")</f>
        <v/>
      </c>
      <c r="G6" s="44" t="str">
        <f aca="false">IFERROR(INDEX(FoodCarb,MATCH(C6,FoodName,0))*D6,"")</f>
        <v/>
      </c>
      <c r="H6" s="44" t="str">
        <f aca="false">IFERROR(INDEX(FoodFat,MATCH(C6,FoodName,0))*D6,"")</f>
        <v/>
      </c>
      <c r="I6" s="44" t="str">
        <f aca="false">IFERROR(INDEX(FoodFib,MATCH(C6,FoodName,0))*D6,"")</f>
        <v/>
      </c>
      <c r="J6" s="36"/>
      <c r="K6" s="3"/>
      <c r="L6" s="3"/>
    </row>
    <row r="7" customFormat="false" ht="21.75" hidden="false" customHeight="true" outlineLevel="0" collapsed="false">
      <c r="A7" s="7" t="s">
        <v>129</v>
      </c>
      <c r="B7" s="40"/>
      <c r="C7" s="41"/>
      <c r="D7" s="42"/>
      <c r="E7" s="43" t="str">
        <f aca="false">IFERROR(INDEX(FoodKcal,MATCH(C7,FoodName,0))*D7,"")</f>
        <v/>
      </c>
      <c r="F7" s="44" t="str">
        <f aca="false">IFERROR(INDEX(FoodPro,MATCH(C7,FoodName,0))*D7,"")</f>
        <v/>
      </c>
      <c r="G7" s="44" t="str">
        <f aca="false">IFERROR(INDEX(FoodCarb,MATCH(C7,FoodName,0))*D7,"")</f>
        <v/>
      </c>
      <c r="H7" s="44" t="str">
        <f aca="false">IFERROR(INDEX(FoodFat,MATCH(C7,FoodName,0))*D7,"")</f>
        <v/>
      </c>
      <c r="I7" s="44" t="str">
        <f aca="false">IFERROR(INDEX(FoodFib,MATCH(C7,FoodName,0))*D7,"")</f>
        <v/>
      </c>
      <c r="J7" s="36"/>
      <c r="K7" s="3"/>
      <c r="L7" s="3"/>
    </row>
    <row r="8" customFormat="false" ht="21.75" hidden="false" customHeight="true" outlineLevel="0" collapsed="false">
      <c r="A8" s="7" t="s">
        <v>130</v>
      </c>
      <c r="B8" s="40"/>
      <c r="C8" s="41"/>
      <c r="D8" s="42"/>
      <c r="E8" s="43" t="str">
        <f aca="false">IFERROR(INDEX(FoodKcal,MATCH(C8,FoodName,0))*D8,"")</f>
        <v/>
      </c>
      <c r="F8" s="44" t="str">
        <f aca="false">IFERROR(INDEX(FoodPro,MATCH(C8,FoodName,0))*D8,"")</f>
        <v/>
      </c>
      <c r="G8" s="44" t="str">
        <f aca="false">IFERROR(INDEX(FoodCarb,MATCH(C8,FoodName,0))*D8,"")</f>
        <v/>
      </c>
      <c r="H8" s="44" t="str">
        <f aca="false">IFERROR(INDEX(FoodFat,MATCH(C8,FoodName,0))*D8,"")</f>
        <v/>
      </c>
      <c r="I8" s="44" t="str">
        <f aca="false">IFERROR(INDEX(FoodFib,MATCH(C8,FoodName,0))*D8,"")</f>
        <v/>
      </c>
      <c r="J8" s="36"/>
      <c r="K8" s="3"/>
      <c r="L8" s="3"/>
    </row>
    <row r="9" customFormat="false" ht="21.75" hidden="false" customHeight="true" outlineLevel="0" collapsed="false">
      <c r="A9" s="7" t="s">
        <v>131</v>
      </c>
      <c r="B9" s="40"/>
      <c r="C9" s="41"/>
      <c r="D9" s="42"/>
      <c r="E9" s="43" t="str">
        <f aca="false">IFERROR(INDEX(FoodKcal,MATCH(C9,FoodName,0))*D9,"")</f>
        <v/>
      </c>
      <c r="F9" s="44" t="str">
        <f aca="false">IFERROR(INDEX(FoodPro,MATCH(C9,FoodName,0))*D9,"")</f>
        <v/>
      </c>
      <c r="G9" s="44" t="str">
        <f aca="false">IFERROR(INDEX(FoodCarb,MATCH(C9,FoodName,0))*D9,"")</f>
        <v/>
      </c>
      <c r="H9" s="44" t="str">
        <f aca="false">IFERROR(INDEX(FoodFat,MATCH(C9,FoodName,0))*D9,"")</f>
        <v/>
      </c>
      <c r="I9" s="44" t="str">
        <f aca="false">IFERROR(INDEX(FoodFib,MATCH(C9,FoodName,0))*D9,"")</f>
        <v/>
      </c>
      <c r="J9" s="36"/>
      <c r="K9" s="3"/>
      <c r="L9" s="3"/>
    </row>
    <row r="10" customFormat="false" ht="21.75" hidden="false" customHeight="true" outlineLevel="0" collapsed="false">
      <c r="A10" s="7" t="s">
        <v>132</v>
      </c>
      <c r="B10" s="40"/>
      <c r="C10" s="41"/>
      <c r="D10" s="42"/>
      <c r="E10" s="43" t="str">
        <f aca="false">IFERROR(INDEX(FoodKcal,MATCH(C10,FoodName,0))*D10,"")</f>
        <v/>
      </c>
      <c r="F10" s="44" t="str">
        <f aca="false">IFERROR(INDEX(FoodPro,MATCH(C10,FoodName,0))*D10,"")</f>
        <v/>
      </c>
      <c r="G10" s="44" t="str">
        <f aca="false">IFERROR(INDEX(FoodCarb,MATCH(C10,FoodName,0))*D10,"")</f>
        <v/>
      </c>
      <c r="H10" s="44" t="str">
        <f aca="false">IFERROR(INDEX(FoodFat,MATCH(C10,FoodName,0))*D10,"")</f>
        <v/>
      </c>
      <c r="I10" s="44" t="str">
        <f aca="false">IFERROR(INDEX(FoodFib,MATCH(C10,FoodName,0))*D10,"")</f>
        <v/>
      </c>
      <c r="J10" s="36"/>
      <c r="K10" s="3"/>
      <c r="L10" s="3"/>
    </row>
    <row r="11" customFormat="false" ht="21.75" hidden="false" customHeight="true" outlineLevel="0" collapsed="false">
      <c r="A11" s="7" t="s">
        <v>133</v>
      </c>
      <c r="B11" s="40"/>
      <c r="C11" s="41"/>
      <c r="D11" s="42"/>
      <c r="E11" s="43" t="str">
        <f aca="false">IFERROR(INDEX(FoodKcal,MATCH(C11,FoodName,0))*D11,"")</f>
        <v/>
      </c>
      <c r="F11" s="44" t="str">
        <f aca="false">IFERROR(INDEX(FoodPro,MATCH(C11,FoodName,0))*D11,"")</f>
        <v/>
      </c>
      <c r="G11" s="44" t="str">
        <f aca="false">IFERROR(INDEX(FoodCarb,MATCH(C11,FoodName,0))*D11,"")</f>
        <v/>
      </c>
      <c r="H11" s="44" t="str">
        <f aca="false">IFERROR(INDEX(FoodFat,MATCH(C11,FoodName,0))*D11,"")</f>
        <v/>
      </c>
      <c r="I11" s="44" t="str">
        <f aca="false">IFERROR(INDEX(FoodFib,MATCH(C11,FoodName,0))*D11,"")</f>
        <v/>
      </c>
      <c r="J11" s="36"/>
      <c r="K11" s="3"/>
      <c r="L11" s="3"/>
    </row>
    <row r="12" customFormat="false" ht="24" hidden="false" customHeight="true" outlineLevel="0" collapsed="false">
      <c r="A12" s="45" t="s">
        <v>134</v>
      </c>
      <c r="B12" s="45"/>
      <c r="C12" s="45"/>
      <c r="D12" s="45"/>
      <c r="E12" s="46" t="n">
        <f aca="false">SUM(E6:E11)</f>
        <v>0</v>
      </c>
      <c r="F12" s="47" t="n">
        <f aca="false">SUM(F6:F11)</f>
        <v>0</v>
      </c>
      <c r="G12" s="47" t="n">
        <f aca="false">SUM(G6:G11)</f>
        <v>0</v>
      </c>
      <c r="H12" s="47" t="n">
        <f aca="false">SUM(H6:H11)</f>
        <v>0</v>
      </c>
      <c r="I12" s="47" t="n">
        <f aca="false">SUM(I6:I11)</f>
        <v>0</v>
      </c>
      <c r="J12" s="48" t="str">
        <f aca="false">IF(E12=0,"—",IF(E12&lt;TgtKcal-400,"▼ Kurang sangat",IF(E12&lt;=TgtKcal,"✓ Ikut target",IF(E12&lt;=TgtKcal+250,"~ Dekat","▲ Lebih"))))</f>
        <v>—</v>
      </c>
      <c r="K12" s="3"/>
      <c r="L12" s="3"/>
    </row>
    <row r="13" customFormat="false" ht="21.75" hidden="false" customHeight="true" outlineLevel="0" collapsed="false">
      <c r="A13" s="49" t="s">
        <v>135</v>
      </c>
      <c r="B13" s="49"/>
      <c r="C13" s="49"/>
      <c r="D13" s="49"/>
      <c r="E13" s="50" t="n">
        <f aca="false">TgtKcal</f>
        <v>1500</v>
      </c>
      <c r="F13" s="50" t="n">
        <f aca="false">TgtPro</f>
        <v>90</v>
      </c>
      <c r="G13" s="50" t="n">
        <f aca="false">TgtCarb</f>
        <v>130</v>
      </c>
      <c r="H13" s="50" t="n">
        <f aca="false">TgtFat</f>
        <v>50</v>
      </c>
      <c r="I13" s="50" t="n">
        <f aca="false">TgtFib</f>
        <v>30</v>
      </c>
      <c r="J13" s="51"/>
      <c r="K13" s="52"/>
      <c r="L13" s="3"/>
    </row>
    <row r="14" customFormat="false" ht="21.75" hidden="false" customHeight="true" outlineLevel="0" collapsed="false">
      <c r="A14" s="53" t="s">
        <v>136</v>
      </c>
      <c r="B14" s="53"/>
      <c r="C14" s="53"/>
      <c r="D14" s="53"/>
      <c r="E14" s="54" t="str">
        <f aca="false">IF(E12=0,"",(E12-E13)/E13)</f>
        <v/>
      </c>
      <c r="F14" s="54" t="str">
        <f aca="false">IF(F12=0,"",(F12-F13)/F13)</f>
        <v/>
      </c>
      <c r="G14" s="54" t="str">
        <f aca="false">IF(G12=0,"",(G12-G13)/G13)</f>
        <v/>
      </c>
      <c r="H14" s="54" t="str">
        <f aca="false">IF(H12=0,"",(H12-H13)/H13)</f>
        <v/>
      </c>
      <c r="I14" s="54" t="str">
        <f aca="false">IF(I12=0,"",(I12-I13)/I13)</f>
        <v/>
      </c>
      <c r="J14" s="55"/>
      <c r="K14" s="3"/>
      <c r="L14" s="3"/>
    </row>
    <row r="15" customFormat="false" ht="21.75" hidden="false" customHeight="true" outlineLevel="0" collapsed="false">
      <c r="A15" s="3"/>
      <c r="B15" s="3"/>
      <c r="C15" s="3"/>
      <c r="D15" s="3"/>
      <c r="E15" s="3"/>
      <c r="F15" s="3"/>
      <c r="G15" s="3"/>
      <c r="H15" s="3"/>
      <c r="I15" s="3"/>
      <c r="J15" s="3"/>
      <c r="K15" s="3"/>
      <c r="L15" s="3"/>
    </row>
    <row r="16" customFormat="false" ht="25.5" hidden="false" customHeight="true" outlineLevel="0" collapsed="false">
      <c r="A16" s="39" t="s">
        <v>137</v>
      </c>
      <c r="B16" s="39"/>
      <c r="C16" s="39"/>
      <c r="D16" s="39"/>
      <c r="E16" s="39"/>
      <c r="F16" s="39"/>
      <c r="G16" s="39"/>
      <c r="H16" s="39"/>
      <c r="I16" s="39"/>
      <c r="J16" s="39"/>
      <c r="K16" s="3"/>
      <c r="L16" s="3"/>
    </row>
    <row r="17" customFormat="false" ht="25.5" hidden="false" customHeight="true" outlineLevel="0" collapsed="false">
      <c r="A17" s="6" t="s">
        <v>121</v>
      </c>
      <c r="B17" s="6" t="s">
        <v>122</v>
      </c>
      <c r="C17" s="6" t="s">
        <v>123</v>
      </c>
      <c r="D17" s="6" t="s">
        <v>124</v>
      </c>
      <c r="E17" s="6" t="s">
        <v>77</v>
      </c>
      <c r="F17" s="6" t="s">
        <v>43</v>
      </c>
      <c r="G17" s="6" t="s">
        <v>125</v>
      </c>
      <c r="H17" s="6" t="s">
        <v>126</v>
      </c>
      <c r="I17" s="6" t="s">
        <v>127</v>
      </c>
      <c r="J17" s="6" t="s">
        <v>37</v>
      </c>
      <c r="K17" s="3"/>
      <c r="L17" s="3"/>
    </row>
    <row r="18" customFormat="false" ht="21.75" hidden="false" customHeight="true" outlineLevel="0" collapsed="false">
      <c r="A18" s="7" t="s">
        <v>128</v>
      </c>
      <c r="B18" s="40"/>
      <c r="C18" s="41"/>
      <c r="D18" s="42"/>
      <c r="E18" s="43" t="str">
        <f aca="false">IFERROR(INDEX(FoodKcal,MATCH(C18,FoodName,0))*D18,"")</f>
        <v/>
      </c>
      <c r="F18" s="44" t="str">
        <f aca="false">IFERROR(INDEX(FoodPro,MATCH(C18,FoodName,0))*D18,"")</f>
        <v/>
      </c>
      <c r="G18" s="44" t="str">
        <f aca="false">IFERROR(INDEX(FoodCarb,MATCH(C18,FoodName,0))*D18,"")</f>
        <v/>
      </c>
      <c r="H18" s="44" t="str">
        <f aca="false">IFERROR(INDEX(FoodFat,MATCH(C18,FoodName,0))*D18,"")</f>
        <v/>
      </c>
      <c r="I18" s="44" t="str">
        <f aca="false">IFERROR(INDEX(FoodFib,MATCH(C18,FoodName,0))*D18,"")</f>
        <v/>
      </c>
      <c r="J18" s="36"/>
      <c r="K18" s="3"/>
      <c r="L18" s="3"/>
    </row>
    <row r="19" customFormat="false" ht="21.75" hidden="false" customHeight="true" outlineLevel="0" collapsed="false">
      <c r="A19" s="7" t="s">
        <v>129</v>
      </c>
      <c r="B19" s="40"/>
      <c r="C19" s="41"/>
      <c r="D19" s="42"/>
      <c r="E19" s="43" t="str">
        <f aca="false">IFERROR(INDEX(FoodKcal,MATCH(C19,FoodName,0))*D19,"")</f>
        <v/>
      </c>
      <c r="F19" s="44" t="str">
        <f aca="false">IFERROR(INDEX(FoodPro,MATCH(C19,FoodName,0))*D19,"")</f>
        <v/>
      </c>
      <c r="G19" s="44" t="str">
        <f aca="false">IFERROR(INDEX(FoodCarb,MATCH(C19,FoodName,0))*D19,"")</f>
        <v/>
      </c>
      <c r="H19" s="44" t="str">
        <f aca="false">IFERROR(INDEX(FoodFat,MATCH(C19,FoodName,0))*D19,"")</f>
        <v/>
      </c>
      <c r="I19" s="44" t="str">
        <f aca="false">IFERROR(INDEX(FoodFib,MATCH(C19,FoodName,0))*D19,"")</f>
        <v/>
      </c>
      <c r="J19" s="36"/>
      <c r="K19" s="3"/>
      <c r="L19" s="3"/>
    </row>
    <row r="20" customFormat="false" ht="21.75" hidden="false" customHeight="true" outlineLevel="0" collapsed="false">
      <c r="A20" s="7" t="s">
        <v>130</v>
      </c>
      <c r="B20" s="40"/>
      <c r="C20" s="41"/>
      <c r="D20" s="42"/>
      <c r="E20" s="43" t="str">
        <f aca="false">IFERROR(INDEX(FoodKcal,MATCH(C20,FoodName,0))*D20,"")</f>
        <v/>
      </c>
      <c r="F20" s="44" t="str">
        <f aca="false">IFERROR(INDEX(FoodPro,MATCH(C20,FoodName,0))*D20,"")</f>
        <v/>
      </c>
      <c r="G20" s="44" t="str">
        <f aca="false">IFERROR(INDEX(FoodCarb,MATCH(C20,FoodName,0))*D20,"")</f>
        <v/>
      </c>
      <c r="H20" s="44" t="str">
        <f aca="false">IFERROR(INDEX(FoodFat,MATCH(C20,FoodName,0))*D20,"")</f>
        <v/>
      </c>
      <c r="I20" s="44" t="str">
        <f aca="false">IFERROR(INDEX(FoodFib,MATCH(C20,FoodName,0))*D20,"")</f>
        <v/>
      </c>
      <c r="J20" s="36"/>
      <c r="K20" s="3"/>
      <c r="L20" s="3"/>
    </row>
    <row r="21" customFormat="false" ht="21.75" hidden="false" customHeight="true" outlineLevel="0" collapsed="false">
      <c r="A21" s="7" t="s">
        <v>131</v>
      </c>
      <c r="B21" s="40"/>
      <c r="C21" s="41"/>
      <c r="D21" s="42"/>
      <c r="E21" s="43" t="str">
        <f aca="false">IFERROR(INDEX(FoodKcal,MATCH(C21,FoodName,0))*D21,"")</f>
        <v/>
      </c>
      <c r="F21" s="44" t="str">
        <f aca="false">IFERROR(INDEX(FoodPro,MATCH(C21,FoodName,0))*D21,"")</f>
        <v/>
      </c>
      <c r="G21" s="44" t="str">
        <f aca="false">IFERROR(INDEX(FoodCarb,MATCH(C21,FoodName,0))*D21,"")</f>
        <v/>
      </c>
      <c r="H21" s="44" t="str">
        <f aca="false">IFERROR(INDEX(FoodFat,MATCH(C21,FoodName,0))*D21,"")</f>
        <v/>
      </c>
      <c r="I21" s="44" t="str">
        <f aca="false">IFERROR(INDEX(FoodFib,MATCH(C21,FoodName,0))*D21,"")</f>
        <v/>
      </c>
      <c r="J21" s="36"/>
      <c r="K21" s="3"/>
      <c r="L21" s="3"/>
    </row>
    <row r="22" customFormat="false" ht="21.75" hidden="false" customHeight="true" outlineLevel="0" collapsed="false">
      <c r="A22" s="7" t="s">
        <v>132</v>
      </c>
      <c r="B22" s="40"/>
      <c r="C22" s="41"/>
      <c r="D22" s="42"/>
      <c r="E22" s="43" t="str">
        <f aca="false">IFERROR(INDEX(FoodKcal,MATCH(C22,FoodName,0))*D22,"")</f>
        <v/>
      </c>
      <c r="F22" s="44" t="str">
        <f aca="false">IFERROR(INDEX(FoodPro,MATCH(C22,FoodName,0))*D22,"")</f>
        <v/>
      </c>
      <c r="G22" s="44" t="str">
        <f aca="false">IFERROR(INDEX(FoodCarb,MATCH(C22,FoodName,0))*D22,"")</f>
        <v/>
      </c>
      <c r="H22" s="44" t="str">
        <f aca="false">IFERROR(INDEX(FoodFat,MATCH(C22,FoodName,0))*D22,"")</f>
        <v/>
      </c>
      <c r="I22" s="44" t="str">
        <f aca="false">IFERROR(INDEX(FoodFib,MATCH(C22,FoodName,0))*D22,"")</f>
        <v/>
      </c>
      <c r="J22" s="36"/>
      <c r="K22" s="3"/>
      <c r="L22" s="3"/>
    </row>
    <row r="23" customFormat="false" ht="21.75" hidden="false" customHeight="true" outlineLevel="0" collapsed="false">
      <c r="A23" s="7" t="s">
        <v>133</v>
      </c>
      <c r="B23" s="40"/>
      <c r="C23" s="41"/>
      <c r="D23" s="42"/>
      <c r="E23" s="43" t="str">
        <f aca="false">IFERROR(INDEX(FoodKcal,MATCH(C23,FoodName,0))*D23,"")</f>
        <v/>
      </c>
      <c r="F23" s="44" t="str">
        <f aca="false">IFERROR(INDEX(FoodPro,MATCH(C23,FoodName,0))*D23,"")</f>
        <v/>
      </c>
      <c r="G23" s="44" t="str">
        <f aca="false">IFERROR(INDEX(FoodCarb,MATCH(C23,FoodName,0))*D23,"")</f>
        <v/>
      </c>
      <c r="H23" s="44" t="str">
        <f aca="false">IFERROR(INDEX(FoodFat,MATCH(C23,FoodName,0))*D23,"")</f>
        <v/>
      </c>
      <c r="I23" s="44" t="str">
        <f aca="false">IFERROR(INDEX(FoodFib,MATCH(C23,FoodName,0))*D23,"")</f>
        <v/>
      </c>
      <c r="J23" s="36"/>
      <c r="K23" s="3"/>
      <c r="L23" s="3"/>
    </row>
    <row r="24" customFormat="false" ht="24" hidden="false" customHeight="true" outlineLevel="0" collapsed="false">
      <c r="A24" s="45" t="s">
        <v>134</v>
      </c>
      <c r="B24" s="45"/>
      <c r="C24" s="45"/>
      <c r="D24" s="45"/>
      <c r="E24" s="46" t="n">
        <f aca="false">SUM(E18:E23)</f>
        <v>0</v>
      </c>
      <c r="F24" s="47" t="n">
        <f aca="false">SUM(F18:F23)</f>
        <v>0</v>
      </c>
      <c r="G24" s="47" t="n">
        <f aca="false">SUM(G18:G23)</f>
        <v>0</v>
      </c>
      <c r="H24" s="47" t="n">
        <f aca="false">SUM(H18:H23)</f>
        <v>0</v>
      </c>
      <c r="I24" s="47" t="n">
        <f aca="false">SUM(I18:I23)</f>
        <v>0</v>
      </c>
      <c r="J24" s="48" t="str">
        <f aca="false">IF(E24=0,"—",IF(E24&lt;TgtKcal-400,"▼ Kurang sangat",IF(E24&lt;=TgtKcal,"✓ Ikut target",IF(E24&lt;=TgtKcal+250,"~ Dekat","▲ Lebih"))))</f>
        <v>—</v>
      </c>
      <c r="K24" s="3"/>
      <c r="L24" s="3"/>
    </row>
    <row r="25" customFormat="false" ht="21.75" hidden="false" customHeight="true" outlineLevel="0" collapsed="false">
      <c r="A25" s="49" t="s">
        <v>135</v>
      </c>
      <c r="B25" s="49"/>
      <c r="C25" s="49"/>
      <c r="D25" s="49"/>
      <c r="E25" s="50" t="n">
        <f aca="false">TgtKcal</f>
        <v>1500</v>
      </c>
      <c r="F25" s="50" t="n">
        <f aca="false">TgtPro</f>
        <v>90</v>
      </c>
      <c r="G25" s="50" t="n">
        <f aca="false">TgtCarb</f>
        <v>130</v>
      </c>
      <c r="H25" s="50" t="n">
        <f aca="false">TgtFat</f>
        <v>50</v>
      </c>
      <c r="I25" s="50" t="n">
        <f aca="false">TgtFib</f>
        <v>30</v>
      </c>
      <c r="J25" s="51"/>
      <c r="K25" s="52"/>
      <c r="L25" s="3"/>
    </row>
    <row r="26" customFormat="false" ht="21.75" hidden="false" customHeight="true" outlineLevel="0" collapsed="false">
      <c r="A26" s="53" t="s">
        <v>136</v>
      </c>
      <c r="B26" s="53"/>
      <c r="C26" s="53"/>
      <c r="D26" s="53"/>
      <c r="E26" s="54" t="str">
        <f aca="false">IF(E24=0,"",(E24-E25)/E25)</f>
        <v/>
      </c>
      <c r="F26" s="54" t="str">
        <f aca="false">IF(F24=0,"",(F24-F25)/F25)</f>
        <v/>
      </c>
      <c r="G26" s="54" t="str">
        <f aca="false">IF(G24=0,"",(G24-G25)/G25)</f>
        <v/>
      </c>
      <c r="H26" s="54" t="str">
        <f aca="false">IF(H24=0,"",(H24-H25)/H25)</f>
        <v/>
      </c>
      <c r="I26" s="54" t="str">
        <f aca="false">IF(I24=0,"",(I24-I25)/I25)</f>
        <v/>
      </c>
      <c r="J26" s="55"/>
      <c r="K26" s="3"/>
      <c r="L26" s="3"/>
    </row>
    <row r="27" customFormat="false" ht="21.75" hidden="false" customHeight="true" outlineLevel="0" collapsed="false">
      <c r="A27" s="3"/>
      <c r="B27" s="3"/>
      <c r="C27" s="3"/>
      <c r="D27" s="3"/>
      <c r="E27" s="3"/>
      <c r="F27" s="3"/>
      <c r="G27" s="3"/>
      <c r="H27" s="3"/>
      <c r="I27" s="3"/>
      <c r="J27" s="3"/>
      <c r="K27" s="3"/>
      <c r="L27" s="3"/>
    </row>
    <row r="28" customFormat="false" ht="25.5" hidden="false" customHeight="true" outlineLevel="0" collapsed="false">
      <c r="A28" s="39" t="s">
        <v>138</v>
      </c>
      <c r="B28" s="39"/>
      <c r="C28" s="39"/>
      <c r="D28" s="39"/>
      <c r="E28" s="39"/>
      <c r="F28" s="39"/>
      <c r="G28" s="39"/>
      <c r="H28" s="39"/>
      <c r="I28" s="39"/>
      <c r="J28" s="39"/>
      <c r="K28" s="3"/>
      <c r="L28" s="3"/>
    </row>
    <row r="29" customFormat="false" ht="25.5" hidden="false" customHeight="true" outlineLevel="0" collapsed="false">
      <c r="A29" s="6" t="s">
        <v>121</v>
      </c>
      <c r="B29" s="6" t="s">
        <v>122</v>
      </c>
      <c r="C29" s="6" t="s">
        <v>123</v>
      </c>
      <c r="D29" s="6" t="s">
        <v>124</v>
      </c>
      <c r="E29" s="6" t="s">
        <v>77</v>
      </c>
      <c r="F29" s="6" t="s">
        <v>43</v>
      </c>
      <c r="G29" s="6" t="s">
        <v>125</v>
      </c>
      <c r="H29" s="6" t="s">
        <v>126</v>
      </c>
      <c r="I29" s="6" t="s">
        <v>127</v>
      </c>
      <c r="J29" s="6" t="s">
        <v>37</v>
      </c>
      <c r="K29" s="3"/>
      <c r="L29" s="3"/>
    </row>
    <row r="30" customFormat="false" ht="21.75" hidden="false" customHeight="true" outlineLevel="0" collapsed="false">
      <c r="A30" s="7" t="s">
        <v>128</v>
      </c>
      <c r="B30" s="40"/>
      <c r="C30" s="41"/>
      <c r="D30" s="42"/>
      <c r="E30" s="43" t="str">
        <f aca="false">IFERROR(INDEX(FoodKcal,MATCH(C30,FoodName,0))*D30,"")</f>
        <v/>
      </c>
      <c r="F30" s="44" t="str">
        <f aca="false">IFERROR(INDEX(FoodPro,MATCH(C30,FoodName,0))*D30,"")</f>
        <v/>
      </c>
      <c r="G30" s="44" t="str">
        <f aca="false">IFERROR(INDEX(FoodCarb,MATCH(C30,FoodName,0))*D30,"")</f>
        <v/>
      </c>
      <c r="H30" s="44" t="str">
        <f aca="false">IFERROR(INDEX(FoodFat,MATCH(C30,FoodName,0))*D30,"")</f>
        <v/>
      </c>
      <c r="I30" s="44" t="str">
        <f aca="false">IFERROR(INDEX(FoodFib,MATCH(C30,FoodName,0))*D30,"")</f>
        <v/>
      </c>
      <c r="J30" s="36"/>
      <c r="K30" s="3"/>
      <c r="L30" s="3"/>
    </row>
    <row r="31" customFormat="false" ht="21.75" hidden="false" customHeight="true" outlineLevel="0" collapsed="false">
      <c r="A31" s="7" t="s">
        <v>129</v>
      </c>
      <c r="B31" s="40"/>
      <c r="C31" s="41"/>
      <c r="D31" s="42"/>
      <c r="E31" s="43" t="str">
        <f aca="false">IFERROR(INDEX(FoodKcal,MATCH(C31,FoodName,0))*D31,"")</f>
        <v/>
      </c>
      <c r="F31" s="44" t="str">
        <f aca="false">IFERROR(INDEX(FoodPro,MATCH(C31,FoodName,0))*D31,"")</f>
        <v/>
      </c>
      <c r="G31" s="44" t="str">
        <f aca="false">IFERROR(INDEX(FoodCarb,MATCH(C31,FoodName,0))*D31,"")</f>
        <v/>
      </c>
      <c r="H31" s="44" t="str">
        <f aca="false">IFERROR(INDEX(FoodFat,MATCH(C31,FoodName,0))*D31,"")</f>
        <v/>
      </c>
      <c r="I31" s="44" t="str">
        <f aca="false">IFERROR(INDEX(FoodFib,MATCH(C31,FoodName,0))*D31,"")</f>
        <v/>
      </c>
      <c r="J31" s="36"/>
      <c r="K31" s="3"/>
      <c r="L31" s="3"/>
    </row>
    <row r="32" customFormat="false" ht="21.75" hidden="false" customHeight="true" outlineLevel="0" collapsed="false">
      <c r="A32" s="7" t="s">
        <v>130</v>
      </c>
      <c r="B32" s="40"/>
      <c r="C32" s="41"/>
      <c r="D32" s="42"/>
      <c r="E32" s="43" t="str">
        <f aca="false">IFERROR(INDEX(FoodKcal,MATCH(C32,FoodName,0))*D32,"")</f>
        <v/>
      </c>
      <c r="F32" s="44" t="str">
        <f aca="false">IFERROR(INDEX(FoodPro,MATCH(C32,FoodName,0))*D32,"")</f>
        <v/>
      </c>
      <c r="G32" s="44" t="str">
        <f aca="false">IFERROR(INDEX(FoodCarb,MATCH(C32,FoodName,0))*D32,"")</f>
        <v/>
      </c>
      <c r="H32" s="44" t="str">
        <f aca="false">IFERROR(INDEX(FoodFat,MATCH(C32,FoodName,0))*D32,"")</f>
        <v/>
      </c>
      <c r="I32" s="44" t="str">
        <f aca="false">IFERROR(INDEX(FoodFib,MATCH(C32,FoodName,0))*D32,"")</f>
        <v/>
      </c>
      <c r="J32" s="36"/>
      <c r="K32" s="3"/>
      <c r="L32" s="3"/>
    </row>
    <row r="33" customFormat="false" ht="21.75" hidden="false" customHeight="true" outlineLevel="0" collapsed="false">
      <c r="A33" s="7" t="s">
        <v>131</v>
      </c>
      <c r="B33" s="40"/>
      <c r="C33" s="41"/>
      <c r="D33" s="42"/>
      <c r="E33" s="43" t="str">
        <f aca="false">IFERROR(INDEX(FoodKcal,MATCH(C33,FoodName,0))*D33,"")</f>
        <v/>
      </c>
      <c r="F33" s="44" t="str">
        <f aca="false">IFERROR(INDEX(FoodPro,MATCH(C33,FoodName,0))*D33,"")</f>
        <v/>
      </c>
      <c r="G33" s="44" t="str">
        <f aca="false">IFERROR(INDEX(FoodCarb,MATCH(C33,FoodName,0))*D33,"")</f>
        <v/>
      </c>
      <c r="H33" s="44" t="str">
        <f aca="false">IFERROR(INDEX(FoodFat,MATCH(C33,FoodName,0))*D33,"")</f>
        <v/>
      </c>
      <c r="I33" s="44" t="str">
        <f aca="false">IFERROR(INDEX(FoodFib,MATCH(C33,FoodName,0))*D33,"")</f>
        <v/>
      </c>
      <c r="J33" s="36"/>
      <c r="K33" s="3"/>
      <c r="L33" s="3"/>
    </row>
    <row r="34" customFormat="false" ht="21.75" hidden="false" customHeight="true" outlineLevel="0" collapsed="false">
      <c r="A34" s="7" t="s">
        <v>132</v>
      </c>
      <c r="B34" s="40"/>
      <c r="C34" s="41"/>
      <c r="D34" s="42"/>
      <c r="E34" s="43" t="str">
        <f aca="false">IFERROR(INDEX(FoodKcal,MATCH(C34,FoodName,0))*D34,"")</f>
        <v/>
      </c>
      <c r="F34" s="44" t="str">
        <f aca="false">IFERROR(INDEX(FoodPro,MATCH(C34,FoodName,0))*D34,"")</f>
        <v/>
      </c>
      <c r="G34" s="44" t="str">
        <f aca="false">IFERROR(INDEX(FoodCarb,MATCH(C34,FoodName,0))*D34,"")</f>
        <v/>
      </c>
      <c r="H34" s="44" t="str">
        <f aca="false">IFERROR(INDEX(FoodFat,MATCH(C34,FoodName,0))*D34,"")</f>
        <v/>
      </c>
      <c r="I34" s="44" t="str">
        <f aca="false">IFERROR(INDEX(FoodFib,MATCH(C34,FoodName,0))*D34,"")</f>
        <v/>
      </c>
      <c r="J34" s="36"/>
      <c r="K34" s="3"/>
      <c r="L34" s="3"/>
    </row>
    <row r="35" customFormat="false" ht="21.75" hidden="false" customHeight="true" outlineLevel="0" collapsed="false">
      <c r="A35" s="7" t="s">
        <v>133</v>
      </c>
      <c r="B35" s="40"/>
      <c r="C35" s="41"/>
      <c r="D35" s="42"/>
      <c r="E35" s="43" t="str">
        <f aca="false">IFERROR(INDEX(FoodKcal,MATCH(C35,FoodName,0))*D35,"")</f>
        <v/>
      </c>
      <c r="F35" s="44" t="str">
        <f aca="false">IFERROR(INDEX(FoodPro,MATCH(C35,FoodName,0))*D35,"")</f>
        <v/>
      </c>
      <c r="G35" s="44" t="str">
        <f aca="false">IFERROR(INDEX(FoodCarb,MATCH(C35,FoodName,0))*D35,"")</f>
        <v/>
      </c>
      <c r="H35" s="44" t="str">
        <f aca="false">IFERROR(INDEX(FoodFat,MATCH(C35,FoodName,0))*D35,"")</f>
        <v/>
      </c>
      <c r="I35" s="44" t="str">
        <f aca="false">IFERROR(INDEX(FoodFib,MATCH(C35,FoodName,0))*D35,"")</f>
        <v/>
      </c>
      <c r="J35" s="36"/>
      <c r="K35" s="3"/>
      <c r="L35" s="3"/>
    </row>
    <row r="36" customFormat="false" ht="24" hidden="false" customHeight="true" outlineLevel="0" collapsed="false">
      <c r="A36" s="45" t="s">
        <v>134</v>
      </c>
      <c r="B36" s="45"/>
      <c r="C36" s="45"/>
      <c r="D36" s="45"/>
      <c r="E36" s="46" t="n">
        <f aca="false">SUM(E30:E35)</f>
        <v>0</v>
      </c>
      <c r="F36" s="47" t="n">
        <f aca="false">SUM(F30:F35)</f>
        <v>0</v>
      </c>
      <c r="G36" s="47" t="n">
        <f aca="false">SUM(G30:G35)</f>
        <v>0</v>
      </c>
      <c r="H36" s="47" t="n">
        <f aca="false">SUM(H30:H35)</f>
        <v>0</v>
      </c>
      <c r="I36" s="47" t="n">
        <f aca="false">SUM(I30:I35)</f>
        <v>0</v>
      </c>
      <c r="J36" s="48" t="str">
        <f aca="false">IF(E36=0,"—",IF(E36&lt;TgtKcal-400,"▼ Kurang sangat",IF(E36&lt;=TgtKcal,"✓ Ikut target",IF(E36&lt;=TgtKcal+250,"~ Dekat","▲ Lebih"))))</f>
        <v>—</v>
      </c>
      <c r="K36" s="3"/>
      <c r="L36" s="3"/>
    </row>
    <row r="37" customFormat="false" ht="21.75" hidden="false" customHeight="true" outlineLevel="0" collapsed="false">
      <c r="A37" s="49" t="s">
        <v>135</v>
      </c>
      <c r="B37" s="49"/>
      <c r="C37" s="49"/>
      <c r="D37" s="49"/>
      <c r="E37" s="50" t="n">
        <f aca="false">TgtKcal</f>
        <v>1500</v>
      </c>
      <c r="F37" s="50" t="n">
        <f aca="false">TgtPro</f>
        <v>90</v>
      </c>
      <c r="G37" s="50" t="n">
        <f aca="false">TgtCarb</f>
        <v>130</v>
      </c>
      <c r="H37" s="50" t="n">
        <f aca="false">TgtFat</f>
        <v>50</v>
      </c>
      <c r="I37" s="50" t="n">
        <f aca="false">TgtFib</f>
        <v>30</v>
      </c>
      <c r="J37" s="51"/>
      <c r="K37" s="52"/>
      <c r="L37" s="3"/>
    </row>
    <row r="38" customFormat="false" ht="21.75" hidden="false" customHeight="true" outlineLevel="0" collapsed="false">
      <c r="A38" s="53" t="s">
        <v>136</v>
      </c>
      <c r="B38" s="53"/>
      <c r="C38" s="53"/>
      <c r="D38" s="53"/>
      <c r="E38" s="54" t="str">
        <f aca="false">IF(E36=0,"",(E36-E37)/E37)</f>
        <v/>
      </c>
      <c r="F38" s="54" t="str">
        <f aca="false">IF(F36=0,"",(F36-F37)/F37)</f>
        <v/>
      </c>
      <c r="G38" s="54" t="str">
        <f aca="false">IF(G36=0,"",(G36-G37)/G37)</f>
        <v/>
      </c>
      <c r="H38" s="54" t="str">
        <f aca="false">IF(H36=0,"",(H36-H37)/H37)</f>
        <v/>
      </c>
      <c r="I38" s="54" t="str">
        <f aca="false">IF(I36=0,"",(I36-I37)/I37)</f>
        <v/>
      </c>
      <c r="J38" s="55"/>
      <c r="K38" s="3"/>
      <c r="L38" s="3"/>
    </row>
    <row r="39" customFormat="false" ht="21.75" hidden="false" customHeight="true" outlineLevel="0" collapsed="false">
      <c r="A39" s="3"/>
      <c r="B39" s="3"/>
      <c r="C39" s="3"/>
      <c r="D39" s="3"/>
      <c r="E39" s="3"/>
      <c r="F39" s="3"/>
      <c r="G39" s="3"/>
      <c r="H39" s="3"/>
      <c r="I39" s="3"/>
      <c r="J39" s="3"/>
      <c r="K39" s="3"/>
      <c r="L39" s="3"/>
    </row>
    <row r="40" customFormat="false" ht="25.5" hidden="false" customHeight="true" outlineLevel="0" collapsed="false">
      <c r="A40" s="39" t="s">
        <v>139</v>
      </c>
      <c r="B40" s="39"/>
      <c r="C40" s="39"/>
      <c r="D40" s="39"/>
      <c r="E40" s="39"/>
      <c r="F40" s="39"/>
      <c r="G40" s="39"/>
      <c r="H40" s="39"/>
      <c r="I40" s="39"/>
      <c r="J40" s="39"/>
      <c r="K40" s="3"/>
      <c r="L40" s="3"/>
    </row>
    <row r="41" customFormat="false" ht="25.5" hidden="false" customHeight="true" outlineLevel="0" collapsed="false">
      <c r="A41" s="6" t="s">
        <v>121</v>
      </c>
      <c r="B41" s="6" t="s">
        <v>122</v>
      </c>
      <c r="C41" s="6" t="s">
        <v>123</v>
      </c>
      <c r="D41" s="6" t="s">
        <v>124</v>
      </c>
      <c r="E41" s="6" t="s">
        <v>77</v>
      </c>
      <c r="F41" s="6" t="s">
        <v>43</v>
      </c>
      <c r="G41" s="6" t="s">
        <v>125</v>
      </c>
      <c r="H41" s="6" t="s">
        <v>126</v>
      </c>
      <c r="I41" s="6" t="s">
        <v>127</v>
      </c>
      <c r="J41" s="6" t="s">
        <v>37</v>
      </c>
      <c r="K41" s="3"/>
      <c r="L41" s="3"/>
    </row>
    <row r="42" customFormat="false" ht="21.75" hidden="false" customHeight="true" outlineLevel="0" collapsed="false">
      <c r="A42" s="7" t="s">
        <v>128</v>
      </c>
      <c r="B42" s="40"/>
      <c r="C42" s="41"/>
      <c r="D42" s="42"/>
      <c r="E42" s="43" t="str">
        <f aca="false">IFERROR(INDEX(FoodKcal,MATCH(C42,FoodName,0))*D42,"")</f>
        <v/>
      </c>
      <c r="F42" s="44" t="str">
        <f aca="false">IFERROR(INDEX(FoodPro,MATCH(C42,FoodName,0))*D42,"")</f>
        <v/>
      </c>
      <c r="G42" s="44" t="str">
        <f aca="false">IFERROR(INDEX(FoodCarb,MATCH(C42,FoodName,0))*D42,"")</f>
        <v/>
      </c>
      <c r="H42" s="44" t="str">
        <f aca="false">IFERROR(INDEX(FoodFat,MATCH(C42,FoodName,0))*D42,"")</f>
        <v/>
      </c>
      <c r="I42" s="44" t="str">
        <f aca="false">IFERROR(INDEX(FoodFib,MATCH(C42,FoodName,0))*D42,"")</f>
        <v/>
      </c>
      <c r="J42" s="36"/>
      <c r="K42" s="3"/>
      <c r="L42" s="3"/>
    </row>
    <row r="43" customFormat="false" ht="21.75" hidden="false" customHeight="true" outlineLevel="0" collapsed="false">
      <c r="A43" s="7" t="s">
        <v>129</v>
      </c>
      <c r="B43" s="40"/>
      <c r="C43" s="41"/>
      <c r="D43" s="42"/>
      <c r="E43" s="43" t="str">
        <f aca="false">IFERROR(INDEX(FoodKcal,MATCH(C43,FoodName,0))*D43,"")</f>
        <v/>
      </c>
      <c r="F43" s="44" t="str">
        <f aca="false">IFERROR(INDEX(FoodPro,MATCH(C43,FoodName,0))*D43,"")</f>
        <v/>
      </c>
      <c r="G43" s="44" t="str">
        <f aca="false">IFERROR(INDEX(FoodCarb,MATCH(C43,FoodName,0))*D43,"")</f>
        <v/>
      </c>
      <c r="H43" s="44" t="str">
        <f aca="false">IFERROR(INDEX(FoodFat,MATCH(C43,FoodName,0))*D43,"")</f>
        <v/>
      </c>
      <c r="I43" s="44" t="str">
        <f aca="false">IFERROR(INDEX(FoodFib,MATCH(C43,FoodName,0))*D43,"")</f>
        <v/>
      </c>
      <c r="J43" s="36"/>
      <c r="K43" s="3"/>
      <c r="L43" s="3"/>
    </row>
    <row r="44" customFormat="false" ht="21.75" hidden="false" customHeight="true" outlineLevel="0" collapsed="false">
      <c r="A44" s="7" t="s">
        <v>130</v>
      </c>
      <c r="B44" s="40"/>
      <c r="C44" s="41"/>
      <c r="D44" s="42"/>
      <c r="E44" s="43" t="str">
        <f aca="false">IFERROR(INDEX(FoodKcal,MATCH(C44,FoodName,0))*D44,"")</f>
        <v/>
      </c>
      <c r="F44" s="44" t="str">
        <f aca="false">IFERROR(INDEX(FoodPro,MATCH(C44,FoodName,0))*D44,"")</f>
        <v/>
      </c>
      <c r="G44" s="44" t="str">
        <f aca="false">IFERROR(INDEX(FoodCarb,MATCH(C44,FoodName,0))*D44,"")</f>
        <v/>
      </c>
      <c r="H44" s="44" t="str">
        <f aca="false">IFERROR(INDEX(FoodFat,MATCH(C44,FoodName,0))*D44,"")</f>
        <v/>
      </c>
      <c r="I44" s="44" t="str">
        <f aca="false">IFERROR(INDEX(FoodFib,MATCH(C44,FoodName,0))*D44,"")</f>
        <v/>
      </c>
      <c r="J44" s="36"/>
      <c r="K44" s="3"/>
      <c r="L44" s="3"/>
    </row>
    <row r="45" customFormat="false" ht="21.75" hidden="false" customHeight="true" outlineLevel="0" collapsed="false">
      <c r="A45" s="7" t="s">
        <v>131</v>
      </c>
      <c r="B45" s="40"/>
      <c r="C45" s="41"/>
      <c r="D45" s="42"/>
      <c r="E45" s="43" t="str">
        <f aca="false">IFERROR(INDEX(FoodKcal,MATCH(C45,FoodName,0))*D45,"")</f>
        <v/>
      </c>
      <c r="F45" s="44" t="str">
        <f aca="false">IFERROR(INDEX(FoodPro,MATCH(C45,FoodName,0))*D45,"")</f>
        <v/>
      </c>
      <c r="G45" s="44" t="str">
        <f aca="false">IFERROR(INDEX(FoodCarb,MATCH(C45,FoodName,0))*D45,"")</f>
        <v/>
      </c>
      <c r="H45" s="44" t="str">
        <f aca="false">IFERROR(INDEX(FoodFat,MATCH(C45,FoodName,0))*D45,"")</f>
        <v/>
      </c>
      <c r="I45" s="44" t="str">
        <f aca="false">IFERROR(INDEX(FoodFib,MATCH(C45,FoodName,0))*D45,"")</f>
        <v/>
      </c>
      <c r="J45" s="36"/>
      <c r="K45" s="3"/>
      <c r="L45" s="3"/>
    </row>
    <row r="46" customFormat="false" ht="21.75" hidden="false" customHeight="true" outlineLevel="0" collapsed="false">
      <c r="A46" s="7" t="s">
        <v>132</v>
      </c>
      <c r="B46" s="40"/>
      <c r="C46" s="41"/>
      <c r="D46" s="42"/>
      <c r="E46" s="43" t="str">
        <f aca="false">IFERROR(INDEX(FoodKcal,MATCH(C46,FoodName,0))*D46,"")</f>
        <v/>
      </c>
      <c r="F46" s="44" t="str">
        <f aca="false">IFERROR(INDEX(FoodPro,MATCH(C46,FoodName,0))*D46,"")</f>
        <v/>
      </c>
      <c r="G46" s="44" t="str">
        <f aca="false">IFERROR(INDEX(FoodCarb,MATCH(C46,FoodName,0))*D46,"")</f>
        <v/>
      </c>
      <c r="H46" s="44" t="str">
        <f aca="false">IFERROR(INDEX(FoodFat,MATCH(C46,FoodName,0))*D46,"")</f>
        <v/>
      </c>
      <c r="I46" s="44" t="str">
        <f aca="false">IFERROR(INDEX(FoodFib,MATCH(C46,FoodName,0))*D46,"")</f>
        <v/>
      </c>
      <c r="J46" s="36"/>
      <c r="K46" s="3"/>
      <c r="L46" s="3"/>
    </row>
    <row r="47" customFormat="false" ht="21.75" hidden="false" customHeight="true" outlineLevel="0" collapsed="false">
      <c r="A47" s="7" t="s">
        <v>133</v>
      </c>
      <c r="B47" s="40"/>
      <c r="C47" s="41"/>
      <c r="D47" s="42"/>
      <c r="E47" s="43" t="str">
        <f aca="false">IFERROR(INDEX(FoodKcal,MATCH(C47,FoodName,0))*D47,"")</f>
        <v/>
      </c>
      <c r="F47" s="44" t="str">
        <f aca="false">IFERROR(INDEX(FoodPro,MATCH(C47,FoodName,0))*D47,"")</f>
        <v/>
      </c>
      <c r="G47" s="44" t="str">
        <f aca="false">IFERROR(INDEX(FoodCarb,MATCH(C47,FoodName,0))*D47,"")</f>
        <v/>
      </c>
      <c r="H47" s="44" t="str">
        <f aca="false">IFERROR(INDEX(FoodFat,MATCH(C47,FoodName,0))*D47,"")</f>
        <v/>
      </c>
      <c r="I47" s="44" t="str">
        <f aca="false">IFERROR(INDEX(FoodFib,MATCH(C47,FoodName,0))*D47,"")</f>
        <v/>
      </c>
      <c r="J47" s="36"/>
      <c r="K47" s="3"/>
      <c r="L47" s="3"/>
    </row>
    <row r="48" customFormat="false" ht="24" hidden="false" customHeight="true" outlineLevel="0" collapsed="false">
      <c r="A48" s="45" t="s">
        <v>134</v>
      </c>
      <c r="B48" s="45"/>
      <c r="C48" s="45"/>
      <c r="D48" s="45"/>
      <c r="E48" s="46" t="n">
        <f aca="false">SUM(E42:E47)</f>
        <v>0</v>
      </c>
      <c r="F48" s="47" t="n">
        <f aca="false">SUM(F42:F47)</f>
        <v>0</v>
      </c>
      <c r="G48" s="47" t="n">
        <f aca="false">SUM(G42:G47)</f>
        <v>0</v>
      </c>
      <c r="H48" s="47" t="n">
        <f aca="false">SUM(H42:H47)</f>
        <v>0</v>
      </c>
      <c r="I48" s="47" t="n">
        <f aca="false">SUM(I42:I47)</f>
        <v>0</v>
      </c>
      <c r="J48" s="48" t="str">
        <f aca="false">IF(E48=0,"—",IF(E48&lt;TgtKcal-400,"▼ Kurang sangat",IF(E48&lt;=TgtKcal,"✓ Ikut target",IF(E48&lt;=TgtKcal+250,"~ Dekat","▲ Lebih"))))</f>
        <v>—</v>
      </c>
      <c r="K48" s="3"/>
      <c r="L48" s="3"/>
    </row>
    <row r="49" customFormat="false" ht="21.75" hidden="false" customHeight="true" outlineLevel="0" collapsed="false">
      <c r="A49" s="49" t="s">
        <v>135</v>
      </c>
      <c r="B49" s="49"/>
      <c r="C49" s="49"/>
      <c r="D49" s="49"/>
      <c r="E49" s="50" t="n">
        <f aca="false">TgtKcal</f>
        <v>1500</v>
      </c>
      <c r="F49" s="50" t="n">
        <f aca="false">TgtPro</f>
        <v>90</v>
      </c>
      <c r="G49" s="50" t="n">
        <f aca="false">TgtCarb</f>
        <v>130</v>
      </c>
      <c r="H49" s="50" t="n">
        <f aca="false">TgtFat</f>
        <v>50</v>
      </c>
      <c r="I49" s="50" t="n">
        <f aca="false">TgtFib</f>
        <v>30</v>
      </c>
      <c r="J49" s="51"/>
      <c r="K49" s="52"/>
      <c r="L49" s="3"/>
    </row>
    <row r="50" customFormat="false" ht="21.75" hidden="false" customHeight="true" outlineLevel="0" collapsed="false">
      <c r="A50" s="53" t="s">
        <v>136</v>
      </c>
      <c r="B50" s="53"/>
      <c r="C50" s="53"/>
      <c r="D50" s="53"/>
      <c r="E50" s="54" t="str">
        <f aca="false">IF(E48=0,"",(E48-E49)/E49)</f>
        <v/>
      </c>
      <c r="F50" s="54" t="str">
        <f aca="false">IF(F48=0,"",(F48-F49)/F49)</f>
        <v/>
      </c>
      <c r="G50" s="54" t="str">
        <f aca="false">IF(G48=0,"",(G48-G49)/G49)</f>
        <v/>
      </c>
      <c r="H50" s="54" t="str">
        <f aca="false">IF(H48=0,"",(H48-H49)/H49)</f>
        <v/>
      </c>
      <c r="I50" s="54" t="str">
        <f aca="false">IF(I48=0,"",(I48-I49)/I49)</f>
        <v/>
      </c>
      <c r="J50" s="55"/>
      <c r="K50" s="3"/>
      <c r="L50" s="3"/>
    </row>
    <row r="51" customFormat="false" ht="21.75" hidden="false" customHeight="true" outlineLevel="0" collapsed="false">
      <c r="A51" s="3"/>
      <c r="B51" s="3"/>
      <c r="C51" s="3"/>
      <c r="D51" s="3"/>
      <c r="E51" s="3"/>
      <c r="F51" s="3"/>
      <c r="G51" s="3"/>
      <c r="H51" s="3"/>
      <c r="I51" s="3"/>
      <c r="J51" s="3"/>
      <c r="K51" s="3"/>
      <c r="L51" s="3"/>
    </row>
    <row r="52" customFormat="false" ht="25.5" hidden="false" customHeight="true" outlineLevel="0" collapsed="false">
      <c r="A52" s="39" t="s">
        <v>140</v>
      </c>
      <c r="B52" s="39"/>
      <c r="C52" s="39"/>
      <c r="D52" s="39"/>
      <c r="E52" s="39"/>
      <c r="F52" s="39"/>
      <c r="G52" s="39"/>
      <c r="H52" s="39"/>
      <c r="I52" s="39"/>
      <c r="J52" s="39"/>
      <c r="K52" s="3"/>
      <c r="L52" s="3"/>
    </row>
    <row r="53" customFormat="false" ht="25.5" hidden="false" customHeight="true" outlineLevel="0" collapsed="false">
      <c r="A53" s="6" t="s">
        <v>121</v>
      </c>
      <c r="B53" s="6" t="s">
        <v>122</v>
      </c>
      <c r="C53" s="6" t="s">
        <v>123</v>
      </c>
      <c r="D53" s="6" t="s">
        <v>124</v>
      </c>
      <c r="E53" s="6" t="s">
        <v>77</v>
      </c>
      <c r="F53" s="6" t="s">
        <v>43</v>
      </c>
      <c r="G53" s="6" t="s">
        <v>125</v>
      </c>
      <c r="H53" s="6" t="s">
        <v>126</v>
      </c>
      <c r="I53" s="6" t="s">
        <v>127</v>
      </c>
      <c r="J53" s="6" t="s">
        <v>37</v>
      </c>
      <c r="K53" s="3"/>
      <c r="L53" s="3"/>
    </row>
    <row r="54" customFormat="false" ht="21.75" hidden="false" customHeight="true" outlineLevel="0" collapsed="false">
      <c r="A54" s="7" t="s">
        <v>128</v>
      </c>
      <c r="B54" s="40"/>
      <c r="C54" s="41"/>
      <c r="D54" s="42"/>
      <c r="E54" s="43" t="str">
        <f aca="false">IFERROR(INDEX(FoodKcal,MATCH(C54,FoodName,0))*D54,"")</f>
        <v/>
      </c>
      <c r="F54" s="44" t="str">
        <f aca="false">IFERROR(INDEX(FoodPro,MATCH(C54,FoodName,0))*D54,"")</f>
        <v/>
      </c>
      <c r="G54" s="44" t="str">
        <f aca="false">IFERROR(INDEX(FoodCarb,MATCH(C54,FoodName,0))*D54,"")</f>
        <v/>
      </c>
      <c r="H54" s="44" t="str">
        <f aca="false">IFERROR(INDEX(FoodFat,MATCH(C54,FoodName,0))*D54,"")</f>
        <v/>
      </c>
      <c r="I54" s="44" t="str">
        <f aca="false">IFERROR(INDEX(FoodFib,MATCH(C54,FoodName,0))*D54,"")</f>
        <v/>
      </c>
      <c r="J54" s="36"/>
      <c r="K54" s="3"/>
      <c r="L54" s="3"/>
    </row>
    <row r="55" customFormat="false" ht="21.75" hidden="false" customHeight="true" outlineLevel="0" collapsed="false">
      <c r="A55" s="7" t="s">
        <v>129</v>
      </c>
      <c r="B55" s="40"/>
      <c r="C55" s="41"/>
      <c r="D55" s="42"/>
      <c r="E55" s="43" t="str">
        <f aca="false">IFERROR(INDEX(FoodKcal,MATCH(C55,FoodName,0))*D55,"")</f>
        <v/>
      </c>
      <c r="F55" s="44" t="str">
        <f aca="false">IFERROR(INDEX(FoodPro,MATCH(C55,FoodName,0))*D55,"")</f>
        <v/>
      </c>
      <c r="G55" s="44" t="str">
        <f aca="false">IFERROR(INDEX(FoodCarb,MATCH(C55,FoodName,0))*D55,"")</f>
        <v/>
      </c>
      <c r="H55" s="44" t="str">
        <f aca="false">IFERROR(INDEX(FoodFat,MATCH(C55,FoodName,0))*D55,"")</f>
        <v/>
      </c>
      <c r="I55" s="44" t="str">
        <f aca="false">IFERROR(INDEX(FoodFib,MATCH(C55,FoodName,0))*D55,"")</f>
        <v/>
      </c>
      <c r="J55" s="36"/>
      <c r="K55" s="3"/>
      <c r="L55" s="3"/>
    </row>
    <row r="56" customFormat="false" ht="21.75" hidden="false" customHeight="true" outlineLevel="0" collapsed="false">
      <c r="A56" s="7" t="s">
        <v>130</v>
      </c>
      <c r="B56" s="40"/>
      <c r="C56" s="41"/>
      <c r="D56" s="42"/>
      <c r="E56" s="43" t="str">
        <f aca="false">IFERROR(INDEX(FoodKcal,MATCH(C56,FoodName,0))*D56,"")</f>
        <v/>
      </c>
      <c r="F56" s="44" t="str">
        <f aca="false">IFERROR(INDEX(FoodPro,MATCH(C56,FoodName,0))*D56,"")</f>
        <v/>
      </c>
      <c r="G56" s="44" t="str">
        <f aca="false">IFERROR(INDEX(FoodCarb,MATCH(C56,FoodName,0))*D56,"")</f>
        <v/>
      </c>
      <c r="H56" s="44" t="str">
        <f aca="false">IFERROR(INDEX(FoodFat,MATCH(C56,FoodName,0))*D56,"")</f>
        <v/>
      </c>
      <c r="I56" s="44" t="str">
        <f aca="false">IFERROR(INDEX(FoodFib,MATCH(C56,FoodName,0))*D56,"")</f>
        <v/>
      </c>
      <c r="J56" s="36"/>
      <c r="K56" s="3"/>
      <c r="L56" s="3"/>
    </row>
    <row r="57" customFormat="false" ht="21.75" hidden="false" customHeight="true" outlineLevel="0" collapsed="false">
      <c r="A57" s="7" t="s">
        <v>131</v>
      </c>
      <c r="B57" s="40"/>
      <c r="C57" s="41"/>
      <c r="D57" s="42"/>
      <c r="E57" s="43" t="str">
        <f aca="false">IFERROR(INDEX(FoodKcal,MATCH(C57,FoodName,0))*D57,"")</f>
        <v/>
      </c>
      <c r="F57" s="44" t="str">
        <f aca="false">IFERROR(INDEX(FoodPro,MATCH(C57,FoodName,0))*D57,"")</f>
        <v/>
      </c>
      <c r="G57" s="44" t="str">
        <f aca="false">IFERROR(INDEX(FoodCarb,MATCH(C57,FoodName,0))*D57,"")</f>
        <v/>
      </c>
      <c r="H57" s="44" t="str">
        <f aca="false">IFERROR(INDEX(FoodFat,MATCH(C57,FoodName,0))*D57,"")</f>
        <v/>
      </c>
      <c r="I57" s="44" t="str">
        <f aca="false">IFERROR(INDEX(FoodFib,MATCH(C57,FoodName,0))*D57,"")</f>
        <v/>
      </c>
      <c r="J57" s="36"/>
      <c r="K57" s="3"/>
      <c r="L57" s="3"/>
    </row>
    <row r="58" customFormat="false" ht="21.75" hidden="false" customHeight="true" outlineLevel="0" collapsed="false">
      <c r="A58" s="7" t="s">
        <v>132</v>
      </c>
      <c r="B58" s="40"/>
      <c r="C58" s="41"/>
      <c r="D58" s="42"/>
      <c r="E58" s="43" t="str">
        <f aca="false">IFERROR(INDEX(FoodKcal,MATCH(C58,FoodName,0))*D58,"")</f>
        <v/>
      </c>
      <c r="F58" s="44" t="str">
        <f aca="false">IFERROR(INDEX(FoodPro,MATCH(C58,FoodName,0))*D58,"")</f>
        <v/>
      </c>
      <c r="G58" s="44" t="str">
        <f aca="false">IFERROR(INDEX(FoodCarb,MATCH(C58,FoodName,0))*D58,"")</f>
        <v/>
      </c>
      <c r="H58" s="44" t="str">
        <f aca="false">IFERROR(INDEX(FoodFat,MATCH(C58,FoodName,0))*D58,"")</f>
        <v/>
      </c>
      <c r="I58" s="44" t="str">
        <f aca="false">IFERROR(INDEX(FoodFib,MATCH(C58,FoodName,0))*D58,"")</f>
        <v/>
      </c>
      <c r="J58" s="36"/>
      <c r="K58" s="3"/>
      <c r="L58" s="3"/>
    </row>
    <row r="59" customFormat="false" ht="21.75" hidden="false" customHeight="true" outlineLevel="0" collapsed="false">
      <c r="A59" s="7" t="s">
        <v>133</v>
      </c>
      <c r="B59" s="40"/>
      <c r="C59" s="41"/>
      <c r="D59" s="42"/>
      <c r="E59" s="43" t="str">
        <f aca="false">IFERROR(INDEX(FoodKcal,MATCH(C59,FoodName,0))*D59,"")</f>
        <v/>
      </c>
      <c r="F59" s="44" t="str">
        <f aca="false">IFERROR(INDEX(FoodPro,MATCH(C59,FoodName,0))*D59,"")</f>
        <v/>
      </c>
      <c r="G59" s="44" t="str">
        <f aca="false">IFERROR(INDEX(FoodCarb,MATCH(C59,FoodName,0))*D59,"")</f>
        <v/>
      </c>
      <c r="H59" s="44" t="str">
        <f aca="false">IFERROR(INDEX(FoodFat,MATCH(C59,FoodName,0))*D59,"")</f>
        <v/>
      </c>
      <c r="I59" s="44" t="str">
        <f aca="false">IFERROR(INDEX(FoodFib,MATCH(C59,FoodName,0))*D59,"")</f>
        <v/>
      </c>
      <c r="J59" s="36"/>
      <c r="K59" s="3"/>
      <c r="L59" s="3"/>
    </row>
    <row r="60" customFormat="false" ht="24" hidden="false" customHeight="true" outlineLevel="0" collapsed="false">
      <c r="A60" s="45" t="s">
        <v>134</v>
      </c>
      <c r="B60" s="45"/>
      <c r="C60" s="45"/>
      <c r="D60" s="45"/>
      <c r="E60" s="46" t="n">
        <f aca="false">SUM(E54:E59)</f>
        <v>0</v>
      </c>
      <c r="F60" s="47" t="n">
        <f aca="false">SUM(F54:F59)</f>
        <v>0</v>
      </c>
      <c r="G60" s="47" t="n">
        <f aca="false">SUM(G54:G59)</f>
        <v>0</v>
      </c>
      <c r="H60" s="47" t="n">
        <f aca="false">SUM(H54:H59)</f>
        <v>0</v>
      </c>
      <c r="I60" s="47" t="n">
        <f aca="false">SUM(I54:I59)</f>
        <v>0</v>
      </c>
      <c r="J60" s="48" t="str">
        <f aca="false">IF(E60=0,"—",IF(E60&lt;TgtKcal-400,"▼ Kurang sangat",IF(E60&lt;=TgtKcal,"✓ Ikut target",IF(E60&lt;=TgtKcal+250,"~ Dekat","▲ Lebih"))))</f>
        <v>—</v>
      </c>
      <c r="K60" s="3"/>
      <c r="L60" s="3"/>
    </row>
    <row r="61" customFormat="false" ht="21.75" hidden="false" customHeight="true" outlineLevel="0" collapsed="false">
      <c r="A61" s="49" t="s">
        <v>135</v>
      </c>
      <c r="B61" s="49"/>
      <c r="C61" s="49"/>
      <c r="D61" s="49"/>
      <c r="E61" s="50" t="n">
        <f aca="false">TgtKcal</f>
        <v>1500</v>
      </c>
      <c r="F61" s="50" t="n">
        <f aca="false">TgtPro</f>
        <v>90</v>
      </c>
      <c r="G61" s="50" t="n">
        <f aca="false">TgtCarb</f>
        <v>130</v>
      </c>
      <c r="H61" s="50" t="n">
        <f aca="false">TgtFat</f>
        <v>50</v>
      </c>
      <c r="I61" s="50" t="n">
        <f aca="false">TgtFib</f>
        <v>30</v>
      </c>
      <c r="J61" s="51"/>
      <c r="K61" s="52"/>
      <c r="L61" s="3"/>
    </row>
    <row r="62" customFormat="false" ht="21.75" hidden="false" customHeight="true" outlineLevel="0" collapsed="false">
      <c r="A62" s="53" t="s">
        <v>136</v>
      </c>
      <c r="B62" s="53"/>
      <c r="C62" s="53"/>
      <c r="D62" s="53"/>
      <c r="E62" s="54" t="str">
        <f aca="false">IF(E60=0,"",(E60-E61)/E61)</f>
        <v/>
      </c>
      <c r="F62" s="54" t="str">
        <f aca="false">IF(F60=0,"",(F60-F61)/F61)</f>
        <v/>
      </c>
      <c r="G62" s="54" t="str">
        <f aca="false">IF(G60=0,"",(G60-G61)/G61)</f>
        <v/>
      </c>
      <c r="H62" s="54" t="str">
        <f aca="false">IF(H60=0,"",(H60-H61)/H61)</f>
        <v/>
      </c>
      <c r="I62" s="54" t="str">
        <f aca="false">IF(I60=0,"",(I60-I61)/I61)</f>
        <v/>
      </c>
      <c r="J62" s="55"/>
      <c r="K62" s="3"/>
      <c r="L62" s="3"/>
    </row>
    <row r="63" customFormat="false" ht="21.75" hidden="false" customHeight="true" outlineLevel="0" collapsed="false">
      <c r="A63" s="3"/>
      <c r="B63" s="3"/>
      <c r="C63" s="3"/>
      <c r="D63" s="3"/>
      <c r="E63" s="3"/>
      <c r="F63" s="3"/>
      <c r="G63" s="3"/>
      <c r="H63" s="3"/>
      <c r="I63" s="3"/>
      <c r="J63" s="3"/>
      <c r="K63" s="3"/>
      <c r="L63" s="3"/>
    </row>
    <row r="64" customFormat="false" ht="25.5" hidden="false" customHeight="true" outlineLevel="0" collapsed="false">
      <c r="A64" s="39" t="s">
        <v>141</v>
      </c>
      <c r="B64" s="39"/>
      <c r="C64" s="39"/>
      <c r="D64" s="39"/>
      <c r="E64" s="39"/>
      <c r="F64" s="39"/>
      <c r="G64" s="39"/>
      <c r="H64" s="39"/>
      <c r="I64" s="39"/>
      <c r="J64" s="39"/>
      <c r="K64" s="3"/>
      <c r="L64" s="3"/>
    </row>
    <row r="65" customFormat="false" ht="25.5" hidden="false" customHeight="true" outlineLevel="0" collapsed="false">
      <c r="A65" s="6" t="s">
        <v>121</v>
      </c>
      <c r="B65" s="6" t="s">
        <v>122</v>
      </c>
      <c r="C65" s="6" t="s">
        <v>123</v>
      </c>
      <c r="D65" s="6" t="s">
        <v>124</v>
      </c>
      <c r="E65" s="6" t="s">
        <v>77</v>
      </c>
      <c r="F65" s="6" t="s">
        <v>43</v>
      </c>
      <c r="G65" s="6" t="s">
        <v>125</v>
      </c>
      <c r="H65" s="6" t="s">
        <v>126</v>
      </c>
      <c r="I65" s="6" t="s">
        <v>127</v>
      </c>
      <c r="J65" s="6" t="s">
        <v>37</v>
      </c>
      <c r="K65" s="3"/>
      <c r="L65" s="3"/>
    </row>
    <row r="66" customFormat="false" ht="21.75" hidden="false" customHeight="true" outlineLevel="0" collapsed="false">
      <c r="A66" s="7" t="s">
        <v>128</v>
      </c>
      <c r="B66" s="40"/>
      <c r="C66" s="41"/>
      <c r="D66" s="42"/>
      <c r="E66" s="43" t="str">
        <f aca="false">IFERROR(INDEX(FoodKcal,MATCH(C66,FoodName,0))*D66,"")</f>
        <v/>
      </c>
      <c r="F66" s="44" t="str">
        <f aca="false">IFERROR(INDEX(FoodPro,MATCH(C66,FoodName,0))*D66,"")</f>
        <v/>
      </c>
      <c r="G66" s="44" t="str">
        <f aca="false">IFERROR(INDEX(FoodCarb,MATCH(C66,FoodName,0))*D66,"")</f>
        <v/>
      </c>
      <c r="H66" s="44" t="str">
        <f aca="false">IFERROR(INDEX(FoodFat,MATCH(C66,FoodName,0))*D66,"")</f>
        <v/>
      </c>
      <c r="I66" s="44" t="str">
        <f aca="false">IFERROR(INDEX(FoodFib,MATCH(C66,FoodName,0))*D66,"")</f>
        <v/>
      </c>
      <c r="J66" s="36"/>
      <c r="K66" s="3"/>
      <c r="L66" s="3"/>
    </row>
    <row r="67" customFormat="false" ht="21.75" hidden="false" customHeight="true" outlineLevel="0" collapsed="false">
      <c r="A67" s="7" t="s">
        <v>129</v>
      </c>
      <c r="B67" s="40"/>
      <c r="C67" s="41"/>
      <c r="D67" s="42"/>
      <c r="E67" s="43" t="str">
        <f aca="false">IFERROR(INDEX(FoodKcal,MATCH(C67,FoodName,0))*D67,"")</f>
        <v/>
      </c>
      <c r="F67" s="44" t="str">
        <f aca="false">IFERROR(INDEX(FoodPro,MATCH(C67,FoodName,0))*D67,"")</f>
        <v/>
      </c>
      <c r="G67" s="44" t="str">
        <f aca="false">IFERROR(INDEX(FoodCarb,MATCH(C67,FoodName,0))*D67,"")</f>
        <v/>
      </c>
      <c r="H67" s="44" t="str">
        <f aca="false">IFERROR(INDEX(FoodFat,MATCH(C67,FoodName,0))*D67,"")</f>
        <v/>
      </c>
      <c r="I67" s="44" t="str">
        <f aca="false">IFERROR(INDEX(FoodFib,MATCH(C67,FoodName,0))*D67,"")</f>
        <v/>
      </c>
      <c r="J67" s="36"/>
      <c r="K67" s="3"/>
      <c r="L67" s="3"/>
    </row>
    <row r="68" customFormat="false" ht="21.75" hidden="false" customHeight="true" outlineLevel="0" collapsed="false">
      <c r="A68" s="7" t="s">
        <v>130</v>
      </c>
      <c r="B68" s="40"/>
      <c r="C68" s="41"/>
      <c r="D68" s="42"/>
      <c r="E68" s="43" t="str">
        <f aca="false">IFERROR(INDEX(FoodKcal,MATCH(C68,FoodName,0))*D68,"")</f>
        <v/>
      </c>
      <c r="F68" s="44" t="str">
        <f aca="false">IFERROR(INDEX(FoodPro,MATCH(C68,FoodName,0))*D68,"")</f>
        <v/>
      </c>
      <c r="G68" s="44" t="str">
        <f aca="false">IFERROR(INDEX(FoodCarb,MATCH(C68,FoodName,0))*D68,"")</f>
        <v/>
      </c>
      <c r="H68" s="44" t="str">
        <f aca="false">IFERROR(INDEX(FoodFat,MATCH(C68,FoodName,0))*D68,"")</f>
        <v/>
      </c>
      <c r="I68" s="44" t="str">
        <f aca="false">IFERROR(INDEX(FoodFib,MATCH(C68,FoodName,0))*D68,"")</f>
        <v/>
      </c>
      <c r="J68" s="36"/>
      <c r="K68" s="3"/>
      <c r="L68" s="3"/>
    </row>
    <row r="69" customFormat="false" ht="21.75" hidden="false" customHeight="true" outlineLevel="0" collapsed="false">
      <c r="A69" s="7" t="s">
        <v>131</v>
      </c>
      <c r="B69" s="40"/>
      <c r="C69" s="41"/>
      <c r="D69" s="42"/>
      <c r="E69" s="43" t="str">
        <f aca="false">IFERROR(INDEX(FoodKcal,MATCH(C69,FoodName,0))*D69,"")</f>
        <v/>
      </c>
      <c r="F69" s="44" t="str">
        <f aca="false">IFERROR(INDEX(FoodPro,MATCH(C69,FoodName,0))*D69,"")</f>
        <v/>
      </c>
      <c r="G69" s="44" t="str">
        <f aca="false">IFERROR(INDEX(FoodCarb,MATCH(C69,FoodName,0))*D69,"")</f>
        <v/>
      </c>
      <c r="H69" s="44" t="str">
        <f aca="false">IFERROR(INDEX(FoodFat,MATCH(C69,FoodName,0))*D69,"")</f>
        <v/>
      </c>
      <c r="I69" s="44" t="str">
        <f aca="false">IFERROR(INDEX(FoodFib,MATCH(C69,FoodName,0))*D69,"")</f>
        <v/>
      </c>
      <c r="J69" s="36"/>
      <c r="K69" s="3"/>
      <c r="L69" s="3"/>
    </row>
    <row r="70" customFormat="false" ht="21.75" hidden="false" customHeight="true" outlineLevel="0" collapsed="false">
      <c r="A70" s="7" t="s">
        <v>132</v>
      </c>
      <c r="B70" s="40"/>
      <c r="C70" s="41"/>
      <c r="D70" s="42"/>
      <c r="E70" s="43" t="str">
        <f aca="false">IFERROR(INDEX(FoodKcal,MATCH(C70,FoodName,0))*D70,"")</f>
        <v/>
      </c>
      <c r="F70" s="44" t="str">
        <f aca="false">IFERROR(INDEX(FoodPro,MATCH(C70,FoodName,0))*D70,"")</f>
        <v/>
      </c>
      <c r="G70" s="44" t="str">
        <f aca="false">IFERROR(INDEX(FoodCarb,MATCH(C70,FoodName,0))*D70,"")</f>
        <v/>
      </c>
      <c r="H70" s="44" t="str">
        <f aca="false">IFERROR(INDEX(FoodFat,MATCH(C70,FoodName,0))*D70,"")</f>
        <v/>
      </c>
      <c r="I70" s="44" t="str">
        <f aca="false">IFERROR(INDEX(FoodFib,MATCH(C70,FoodName,0))*D70,"")</f>
        <v/>
      </c>
      <c r="J70" s="36"/>
      <c r="K70" s="3"/>
      <c r="L70" s="3"/>
    </row>
    <row r="71" customFormat="false" ht="21.75" hidden="false" customHeight="true" outlineLevel="0" collapsed="false">
      <c r="A71" s="7" t="s">
        <v>133</v>
      </c>
      <c r="B71" s="40"/>
      <c r="C71" s="41"/>
      <c r="D71" s="42"/>
      <c r="E71" s="43" t="str">
        <f aca="false">IFERROR(INDEX(FoodKcal,MATCH(C71,FoodName,0))*D71,"")</f>
        <v/>
      </c>
      <c r="F71" s="44" t="str">
        <f aca="false">IFERROR(INDEX(FoodPro,MATCH(C71,FoodName,0))*D71,"")</f>
        <v/>
      </c>
      <c r="G71" s="44" t="str">
        <f aca="false">IFERROR(INDEX(FoodCarb,MATCH(C71,FoodName,0))*D71,"")</f>
        <v/>
      </c>
      <c r="H71" s="44" t="str">
        <f aca="false">IFERROR(INDEX(FoodFat,MATCH(C71,FoodName,0))*D71,"")</f>
        <v/>
      </c>
      <c r="I71" s="44" t="str">
        <f aca="false">IFERROR(INDEX(FoodFib,MATCH(C71,FoodName,0))*D71,"")</f>
        <v/>
      </c>
      <c r="J71" s="36"/>
      <c r="K71" s="3"/>
      <c r="L71" s="3"/>
    </row>
    <row r="72" customFormat="false" ht="24" hidden="false" customHeight="true" outlineLevel="0" collapsed="false">
      <c r="A72" s="45" t="s">
        <v>134</v>
      </c>
      <c r="B72" s="45"/>
      <c r="C72" s="45"/>
      <c r="D72" s="45"/>
      <c r="E72" s="46" t="n">
        <f aca="false">SUM(E66:E71)</f>
        <v>0</v>
      </c>
      <c r="F72" s="47" t="n">
        <f aca="false">SUM(F66:F71)</f>
        <v>0</v>
      </c>
      <c r="G72" s="47" t="n">
        <f aca="false">SUM(G66:G71)</f>
        <v>0</v>
      </c>
      <c r="H72" s="47" t="n">
        <f aca="false">SUM(H66:H71)</f>
        <v>0</v>
      </c>
      <c r="I72" s="47" t="n">
        <f aca="false">SUM(I66:I71)</f>
        <v>0</v>
      </c>
      <c r="J72" s="48" t="str">
        <f aca="false">IF(E72=0,"—",IF(E72&lt;TgtKcal-400,"▼ Kurang sangat",IF(E72&lt;=TgtKcal,"✓ Ikut target",IF(E72&lt;=TgtKcal+250,"~ Dekat","▲ Lebih"))))</f>
        <v>—</v>
      </c>
      <c r="K72" s="3"/>
      <c r="L72" s="3"/>
    </row>
    <row r="73" customFormat="false" ht="21.75" hidden="false" customHeight="true" outlineLevel="0" collapsed="false">
      <c r="A73" s="49" t="s">
        <v>135</v>
      </c>
      <c r="B73" s="49"/>
      <c r="C73" s="49"/>
      <c r="D73" s="49"/>
      <c r="E73" s="50" t="n">
        <f aca="false">TgtKcal</f>
        <v>1500</v>
      </c>
      <c r="F73" s="50" t="n">
        <f aca="false">TgtPro</f>
        <v>90</v>
      </c>
      <c r="G73" s="50" t="n">
        <f aca="false">TgtCarb</f>
        <v>130</v>
      </c>
      <c r="H73" s="50" t="n">
        <f aca="false">TgtFat</f>
        <v>50</v>
      </c>
      <c r="I73" s="50" t="n">
        <f aca="false">TgtFib</f>
        <v>30</v>
      </c>
      <c r="J73" s="51"/>
      <c r="K73" s="52"/>
      <c r="L73" s="3"/>
    </row>
    <row r="74" customFormat="false" ht="21.75" hidden="false" customHeight="true" outlineLevel="0" collapsed="false">
      <c r="A74" s="53" t="s">
        <v>136</v>
      </c>
      <c r="B74" s="53"/>
      <c r="C74" s="53"/>
      <c r="D74" s="53"/>
      <c r="E74" s="54" t="str">
        <f aca="false">IF(E72=0,"",(E72-E73)/E73)</f>
        <v/>
      </c>
      <c r="F74" s="54" t="str">
        <f aca="false">IF(F72=0,"",(F72-F73)/F73)</f>
        <v/>
      </c>
      <c r="G74" s="54" t="str">
        <f aca="false">IF(G72=0,"",(G72-G73)/G73)</f>
        <v/>
      </c>
      <c r="H74" s="54" t="str">
        <f aca="false">IF(H72=0,"",(H72-H73)/H73)</f>
        <v/>
      </c>
      <c r="I74" s="54" t="str">
        <f aca="false">IF(I72=0,"",(I72-I73)/I73)</f>
        <v/>
      </c>
      <c r="J74" s="55"/>
      <c r="K74" s="3"/>
      <c r="L74" s="3"/>
    </row>
    <row r="75" customFormat="false" ht="21.75" hidden="false" customHeight="true" outlineLevel="0" collapsed="false">
      <c r="A75" s="3"/>
      <c r="B75" s="3"/>
      <c r="C75" s="3"/>
      <c r="D75" s="3"/>
      <c r="E75" s="3"/>
      <c r="F75" s="3"/>
      <c r="G75" s="3"/>
      <c r="H75" s="3"/>
      <c r="I75" s="3"/>
      <c r="J75" s="3"/>
      <c r="K75" s="3"/>
      <c r="L75" s="3"/>
    </row>
    <row r="76" customFormat="false" ht="25.5" hidden="false" customHeight="true" outlineLevel="0" collapsed="false">
      <c r="A76" s="39" t="s">
        <v>142</v>
      </c>
      <c r="B76" s="39"/>
      <c r="C76" s="39"/>
      <c r="D76" s="39"/>
      <c r="E76" s="39"/>
      <c r="F76" s="39"/>
      <c r="G76" s="39"/>
      <c r="H76" s="39"/>
      <c r="I76" s="39"/>
      <c r="J76" s="39"/>
      <c r="K76" s="3"/>
      <c r="L76" s="3"/>
    </row>
    <row r="77" customFormat="false" ht="25.5" hidden="false" customHeight="true" outlineLevel="0" collapsed="false">
      <c r="A77" s="6" t="s">
        <v>121</v>
      </c>
      <c r="B77" s="6" t="s">
        <v>122</v>
      </c>
      <c r="C77" s="6" t="s">
        <v>123</v>
      </c>
      <c r="D77" s="6" t="s">
        <v>124</v>
      </c>
      <c r="E77" s="6" t="s">
        <v>77</v>
      </c>
      <c r="F77" s="6" t="s">
        <v>43</v>
      </c>
      <c r="G77" s="6" t="s">
        <v>125</v>
      </c>
      <c r="H77" s="6" t="s">
        <v>126</v>
      </c>
      <c r="I77" s="6" t="s">
        <v>127</v>
      </c>
      <c r="J77" s="6" t="s">
        <v>37</v>
      </c>
      <c r="K77" s="3"/>
      <c r="L77" s="3"/>
    </row>
    <row r="78" customFormat="false" ht="21.75" hidden="false" customHeight="true" outlineLevel="0" collapsed="false">
      <c r="A78" s="7" t="s">
        <v>128</v>
      </c>
      <c r="B78" s="40"/>
      <c r="C78" s="41"/>
      <c r="D78" s="42"/>
      <c r="E78" s="43" t="str">
        <f aca="false">IFERROR(INDEX(FoodKcal,MATCH(C78,FoodName,0))*D78,"")</f>
        <v/>
      </c>
      <c r="F78" s="44" t="str">
        <f aca="false">IFERROR(INDEX(FoodPro,MATCH(C78,FoodName,0))*D78,"")</f>
        <v/>
      </c>
      <c r="G78" s="44" t="str">
        <f aca="false">IFERROR(INDEX(FoodCarb,MATCH(C78,FoodName,0))*D78,"")</f>
        <v/>
      </c>
      <c r="H78" s="44" t="str">
        <f aca="false">IFERROR(INDEX(FoodFat,MATCH(C78,FoodName,0))*D78,"")</f>
        <v/>
      </c>
      <c r="I78" s="44" t="str">
        <f aca="false">IFERROR(INDEX(FoodFib,MATCH(C78,FoodName,0))*D78,"")</f>
        <v/>
      </c>
      <c r="J78" s="36"/>
      <c r="K78" s="3"/>
      <c r="L78" s="3"/>
    </row>
    <row r="79" customFormat="false" ht="21.75" hidden="false" customHeight="true" outlineLevel="0" collapsed="false">
      <c r="A79" s="7" t="s">
        <v>129</v>
      </c>
      <c r="B79" s="40"/>
      <c r="C79" s="41"/>
      <c r="D79" s="42"/>
      <c r="E79" s="43" t="str">
        <f aca="false">IFERROR(INDEX(FoodKcal,MATCH(C79,FoodName,0))*D79,"")</f>
        <v/>
      </c>
      <c r="F79" s="44" t="str">
        <f aca="false">IFERROR(INDEX(FoodPro,MATCH(C79,FoodName,0))*D79,"")</f>
        <v/>
      </c>
      <c r="G79" s="44" t="str">
        <f aca="false">IFERROR(INDEX(FoodCarb,MATCH(C79,FoodName,0))*D79,"")</f>
        <v/>
      </c>
      <c r="H79" s="44" t="str">
        <f aca="false">IFERROR(INDEX(FoodFat,MATCH(C79,FoodName,0))*D79,"")</f>
        <v/>
      </c>
      <c r="I79" s="44" t="str">
        <f aca="false">IFERROR(INDEX(FoodFib,MATCH(C79,FoodName,0))*D79,"")</f>
        <v/>
      </c>
      <c r="J79" s="36"/>
      <c r="K79" s="3"/>
      <c r="L79" s="3"/>
    </row>
    <row r="80" customFormat="false" ht="21.75" hidden="false" customHeight="true" outlineLevel="0" collapsed="false">
      <c r="A80" s="7" t="s">
        <v>130</v>
      </c>
      <c r="B80" s="40"/>
      <c r="C80" s="41"/>
      <c r="D80" s="42"/>
      <c r="E80" s="43" t="str">
        <f aca="false">IFERROR(INDEX(FoodKcal,MATCH(C80,FoodName,0))*D80,"")</f>
        <v/>
      </c>
      <c r="F80" s="44" t="str">
        <f aca="false">IFERROR(INDEX(FoodPro,MATCH(C80,FoodName,0))*D80,"")</f>
        <v/>
      </c>
      <c r="G80" s="44" t="str">
        <f aca="false">IFERROR(INDEX(FoodCarb,MATCH(C80,FoodName,0))*D80,"")</f>
        <v/>
      </c>
      <c r="H80" s="44" t="str">
        <f aca="false">IFERROR(INDEX(FoodFat,MATCH(C80,FoodName,0))*D80,"")</f>
        <v/>
      </c>
      <c r="I80" s="44" t="str">
        <f aca="false">IFERROR(INDEX(FoodFib,MATCH(C80,FoodName,0))*D80,"")</f>
        <v/>
      </c>
      <c r="J80" s="36"/>
      <c r="K80" s="3"/>
      <c r="L80" s="3"/>
    </row>
    <row r="81" customFormat="false" ht="21.75" hidden="false" customHeight="true" outlineLevel="0" collapsed="false">
      <c r="A81" s="7" t="s">
        <v>131</v>
      </c>
      <c r="B81" s="40"/>
      <c r="C81" s="41"/>
      <c r="D81" s="42"/>
      <c r="E81" s="43" t="str">
        <f aca="false">IFERROR(INDEX(FoodKcal,MATCH(C81,FoodName,0))*D81,"")</f>
        <v/>
      </c>
      <c r="F81" s="44" t="str">
        <f aca="false">IFERROR(INDEX(FoodPro,MATCH(C81,FoodName,0))*D81,"")</f>
        <v/>
      </c>
      <c r="G81" s="44" t="str">
        <f aca="false">IFERROR(INDEX(FoodCarb,MATCH(C81,FoodName,0))*D81,"")</f>
        <v/>
      </c>
      <c r="H81" s="44" t="str">
        <f aca="false">IFERROR(INDEX(FoodFat,MATCH(C81,FoodName,0))*D81,"")</f>
        <v/>
      </c>
      <c r="I81" s="44" t="str">
        <f aca="false">IFERROR(INDEX(FoodFib,MATCH(C81,FoodName,0))*D81,"")</f>
        <v/>
      </c>
      <c r="J81" s="36"/>
      <c r="K81" s="3"/>
      <c r="L81" s="3"/>
    </row>
    <row r="82" customFormat="false" ht="21.75" hidden="false" customHeight="true" outlineLevel="0" collapsed="false">
      <c r="A82" s="7" t="s">
        <v>132</v>
      </c>
      <c r="B82" s="40"/>
      <c r="C82" s="41"/>
      <c r="D82" s="42"/>
      <c r="E82" s="43" t="str">
        <f aca="false">IFERROR(INDEX(FoodKcal,MATCH(C82,FoodName,0))*D82,"")</f>
        <v/>
      </c>
      <c r="F82" s="44" t="str">
        <f aca="false">IFERROR(INDEX(FoodPro,MATCH(C82,FoodName,0))*D82,"")</f>
        <v/>
      </c>
      <c r="G82" s="44" t="str">
        <f aca="false">IFERROR(INDEX(FoodCarb,MATCH(C82,FoodName,0))*D82,"")</f>
        <v/>
      </c>
      <c r="H82" s="44" t="str">
        <f aca="false">IFERROR(INDEX(FoodFat,MATCH(C82,FoodName,0))*D82,"")</f>
        <v/>
      </c>
      <c r="I82" s="44" t="str">
        <f aca="false">IFERROR(INDEX(FoodFib,MATCH(C82,FoodName,0))*D82,"")</f>
        <v/>
      </c>
      <c r="J82" s="36"/>
      <c r="K82" s="3"/>
      <c r="L82" s="3"/>
    </row>
    <row r="83" customFormat="false" ht="21.75" hidden="false" customHeight="true" outlineLevel="0" collapsed="false">
      <c r="A83" s="7" t="s">
        <v>133</v>
      </c>
      <c r="B83" s="40"/>
      <c r="C83" s="41"/>
      <c r="D83" s="42"/>
      <c r="E83" s="43" t="str">
        <f aca="false">IFERROR(INDEX(FoodKcal,MATCH(C83,FoodName,0))*D83,"")</f>
        <v/>
      </c>
      <c r="F83" s="44" t="str">
        <f aca="false">IFERROR(INDEX(FoodPro,MATCH(C83,FoodName,0))*D83,"")</f>
        <v/>
      </c>
      <c r="G83" s="44" t="str">
        <f aca="false">IFERROR(INDEX(FoodCarb,MATCH(C83,FoodName,0))*D83,"")</f>
        <v/>
      </c>
      <c r="H83" s="44" t="str">
        <f aca="false">IFERROR(INDEX(FoodFat,MATCH(C83,FoodName,0))*D83,"")</f>
        <v/>
      </c>
      <c r="I83" s="44" t="str">
        <f aca="false">IFERROR(INDEX(FoodFib,MATCH(C83,FoodName,0))*D83,"")</f>
        <v/>
      </c>
      <c r="J83" s="36"/>
      <c r="K83" s="3"/>
      <c r="L83" s="3"/>
    </row>
    <row r="84" customFormat="false" ht="24" hidden="false" customHeight="true" outlineLevel="0" collapsed="false">
      <c r="A84" s="45" t="s">
        <v>134</v>
      </c>
      <c r="B84" s="45"/>
      <c r="C84" s="45"/>
      <c r="D84" s="45"/>
      <c r="E84" s="46" t="n">
        <f aca="false">SUM(E78:E83)</f>
        <v>0</v>
      </c>
      <c r="F84" s="47" t="n">
        <f aca="false">SUM(F78:F83)</f>
        <v>0</v>
      </c>
      <c r="G84" s="47" t="n">
        <f aca="false">SUM(G78:G83)</f>
        <v>0</v>
      </c>
      <c r="H84" s="47" t="n">
        <f aca="false">SUM(H78:H83)</f>
        <v>0</v>
      </c>
      <c r="I84" s="47" t="n">
        <f aca="false">SUM(I78:I83)</f>
        <v>0</v>
      </c>
      <c r="J84" s="48" t="str">
        <f aca="false">IF(E84=0,"—",IF(E84&lt;TgtKcal-400,"▼ Kurang sangat",IF(E84&lt;=TgtKcal,"✓ Ikut target",IF(E84&lt;=TgtKcal+250,"~ Dekat","▲ Lebih"))))</f>
        <v>—</v>
      </c>
      <c r="K84" s="3"/>
      <c r="L84" s="3"/>
    </row>
    <row r="85" customFormat="false" ht="21.75" hidden="false" customHeight="true" outlineLevel="0" collapsed="false">
      <c r="A85" s="49" t="s">
        <v>135</v>
      </c>
      <c r="B85" s="49"/>
      <c r="C85" s="49"/>
      <c r="D85" s="49"/>
      <c r="E85" s="50" t="n">
        <f aca="false">TgtKcal</f>
        <v>1500</v>
      </c>
      <c r="F85" s="50" t="n">
        <f aca="false">TgtPro</f>
        <v>90</v>
      </c>
      <c r="G85" s="50" t="n">
        <f aca="false">TgtCarb</f>
        <v>130</v>
      </c>
      <c r="H85" s="50" t="n">
        <f aca="false">TgtFat</f>
        <v>50</v>
      </c>
      <c r="I85" s="50" t="n">
        <f aca="false">TgtFib</f>
        <v>30</v>
      </c>
      <c r="J85" s="51"/>
      <c r="K85" s="52"/>
      <c r="L85" s="3"/>
    </row>
    <row r="86" customFormat="false" ht="21.75" hidden="false" customHeight="true" outlineLevel="0" collapsed="false">
      <c r="A86" s="53" t="s">
        <v>136</v>
      </c>
      <c r="B86" s="53"/>
      <c r="C86" s="53"/>
      <c r="D86" s="53"/>
      <c r="E86" s="54" t="str">
        <f aca="false">IF(E84=0,"",(E84-E85)/E85)</f>
        <v/>
      </c>
      <c r="F86" s="54" t="str">
        <f aca="false">IF(F84=0,"",(F84-F85)/F85)</f>
        <v/>
      </c>
      <c r="G86" s="54" t="str">
        <f aca="false">IF(G84=0,"",(G84-G85)/G85)</f>
        <v/>
      </c>
      <c r="H86" s="54" t="str">
        <f aca="false">IF(H84=0,"",(H84-H85)/H85)</f>
        <v/>
      </c>
      <c r="I86" s="54" t="str">
        <f aca="false">IF(I84=0,"",(I84-I85)/I85)</f>
        <v/>
      </c>
      <c r="J86" s="55"/>
      <c r="K86" s="3"/>
      <c r="L86" s="3"/>
    </row>
  </sheetData>
  <mergeCells count="31">
    <mergeCell ref="A1:J1"/>
    <mergeCell ref="A2:J2"/>
    <mergeCell ref="A3:J3"/>
    <mergeCell ref="A4:J4"/>
    <mergeCell ref="A12:D12"/>
    <mergeCell ref="A13:D13"/>
    <mergeCell ref="A14:D14"/>
    <mergeCell ref="A16:J16"/>
    <mergeCell ref="A24:D24"/>
    <mergeCell ref="A25:D25"/>
    <mergeCell ref="A26:D26"/>
    <mergeCell ref="A28:J28"/>
    <mergeCell ref="A36:D36"/>
    <mergeCell ref="A37:D37"/>
    <mergeCell ref="A38:D38"/>
    <mergeCell ref="A40:J40"/>
    <mergeCell ref="A48:D48"/>
    <mergeCell ref="A49:D49"/>
    <mergeCell ref="A50:D50"/>
    <mergeCell ref="A52:J52"/>
    <mergeCell ref="A60:D60"/>
    <mergeCell ref="A61:D61"/>
    <mergeCell ref="A62:D62"/>
    <mergeCell ref="A64:J64"/>
    <mergeCell ref="A72:D72"/>
    <mergeCell ref="A73:D73"/>
    <mergeCell ref="A74:D74"/>
    <mergeCell ref="A76:J76"/>
    <mergeCell ref="A84:D84"/>
    <mergeCell ref="A85:D85"/>
    <mergeCell ref="A86:D86"/>
  </mergeCells>
  <dataValidations count="1">
    <dataValidation allowBlank="true" error="Pilih dari senarai, atau taip sendiri dan isi makro manual" errorStyle="stop" errorTitle="Tiada dalam senarai" operator="between" prompt="Klik anak panah untuk pilih dari Food Database" promptTitle="Pilih makanan" showDropDown="false" showErrorMessage="false" showInputMessage="false" sqref="C6:C11 C18:C23 C30:C35 C42:C47 C54:C59 C66:C71 C78:C83" type="list">
      <formula1>FoodName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J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30"/>
    <col collapsed="false" customWidth="true" hidden="false" outlineLevel="0" max="3" min="3" style="1" width="18"/>
    <col collapsed="false" customWidth="true" hidden="false" outlineLevel="0" max="4" min="4" style="1" width="10"/>
    <col collapsed="false" customWidth="true" hidden="false" outlineLevel="0" max="6" min="5" style="1" width="12"/>
    <col collapsed="false" customWidth="true" hidden="false" outlineLevel="0" max="8" min="7" style="1" width="10"/>
    <col collapsed="false" customWidth="true" hidden="false" outlineLevel="0" max="9" min="9" style="1" width="14"/>
    <col collapsed="false" customWidth="true" hidden="false" outlineLevel="0" max="10" min="10" style="1" width="38"/>
  </cols>
  <sheetData>
    <row r="1" customFormat="false" ht="42" hidden="false" customHeight="true" outlineLevel="0" collapsed="false">
      <c r="A1" s="2" t="s">
        <v>143</v>
      </c>
      <c r="B1" s="2"/>
      <c r="C1" s="2"/>
      <c r="D1" s="2"/>
      <c r="E1" s="2"/>
      <c r="F1" s="2"/>
      <c r="G1" s="2"/>
      <c r="H1" s="2"/>
      <c r="I1" s="2"/>
      <c r="J1" s="2"/>
    </row>
    <row r="2" customFormat="false" ht="21.75" hidden="false" customHeight="true" outlineLevel="0" collapsed="false">
      <c r="A2" s="4" t="s">
        <v>144</v>
      </c>
      <c r="B2" s="4"/>
      <c r="C2" s="4"/>
      <c r="D2" s="4"/>
      <c r="E2" s="4"/>
      <c r="F2" s="4"/>
      <c r="G2" s="4"/>
      <c r="H2" s="4"/>
      <c r="I2" s="4"/>
      <c r="J2" s="4"/>
    </row>
    <row r="3" customFormat="false" ht="25.5" hidden="false" customHeight="true" outlineLevel="0" collapsed="false">
      <c r="A3" s="6" t="s">
        <v>145</v>
      </c>
      <c r="B3" s="6" t="s">
        <v>123</v>
      </c>
      <c r="C3" s="6" t="s">
        <v>146</v>
      </c>
      <c r="D3" s="6" t="s">
        <v>77</v>
      </c>
      <c r="E3" s="6" t="s">
        <v>43</v>
      </c>
      <c r="F3" s="6" t="s">
        <v>125</v>
      </c>
      <c r="G3" s="6" t="s">
        <v>126</v>
      </c>
      <c r="H3" s="6" t="s">
        <v>127</v>
      </c>
      <c r="I3" s="6" t="s">
        <v>147</v>
      </c>
      <c r="J3" s="6" t="s">
        <v>37</v>
      </c>
    </row>
    <row r="4" customFormat="false" ht="21" hidden="false" customHeight="true" outlineLevel="0" collapsed="false">
      <c r="A4" s="56" t="s">
        <v>148</v>
      </c>
      <c r="B4" s="57" t="s">
        <v>149</v>
      </c>
      <c r="C4" s="58" t="s">
        <v>150</v>
      </c>
      <c r="D4" s="59" t="n">
        <v>310</v>
      </c>
      <c r="E4" s="60" t="n">
        <v>33</v>
      </c>
      <c r="F4" s="58" t="n">
        <v>0</v>
      </c>
      <c r="G4" s="58" t="n">
        <v>18</v>
      </c>
      <c r="H4" s="58" t="n">
        <v>0</v>
      </c>
      <c r="I4" s="58" t="n">
        <v>0</v>
      </c>
      <c r="J4" s="61" t="s">
        <v>151</v>
      </c>
    </row>
    <row r="5" customFormat="false" ht="21" hidden="false" customHeight="true" outlineLevel="0" collapsed="false">
      <c r="A5" s="62" t="s">
        <v>148</v>
      </c>
      <c r="B5" s="63" t="s">
        <v>152</v>
      </c>
      <c r="C5" s="64" t="s">
        <v>153</v>
      </c>
      <c r="D5" s="65" t="n">
        <v>150</v>
      </c>
      <c r="E5" s="66" t="n">
        <v>20</v>
      </c>
      <c r="F5" s="64" t="n">
        <v>0</v>
      </c>
      <c r="G5" s="64" t="n">
        <v>7</v>
      </c>
      <c r="H5" s="64" t="n">
        <v>0</v>
      </c>
      <c r="I5" s="64" t="n">
        <v>0</v>
      </c>
      <c r="J5" s="24" t="s">
        <v>154</v>
      </c>
    </row>
    <row r="6" customFormat="false" ht="21" hidden="false" customHeight="true" outlineLevel="0" collapsed="false">
      <c r="A6" s="67" t="s">
        <v>148</v>
      </c>
      <c r="B6" s="35" t="s">
        <v>155</v>
      </c>
      <c r="C6" s="68" t="s">
        <v>156</v>
      </c>
      <c r="D6" s="69" t="n">
        <v>400</v>
      </c>
      <c r="E6" s="70" t="n">
        <v>28</v>
      </c>
      <c r="F6" s="68" t="n">
        <v>8</v>
      </c>
      <c r="G6" s="68" t="n">
        <v>28</v>
      </c>
      <c r="H6" s="68" t="n">
        <v>2</v>
      </c>
      <c r="I6" s="68" t="n">
        <v>3</v>
      </c>
      <c r="J6" s="71" t="s">
        <v>157</v>
      </c>
    </row>
    <row r="7" customFormat="false" ht="21" hidden="false" customHeight="true" outlineLevel="0" collapsed="false">
      <c r="A7" s="62" t="s">
        <v>148</v>
      </c>
      <c r="B7" s="63" t="s">
        <v>158</v>
      </c>
      <c r="C7" s="64" t="s">
        <v>159</v>
      </c>
      <c r="D7" s="65" t="n">
        <v>180</v>
      </c>
      <c r="E7" s="66" t="n">
        <v>25</v>
      </c>
      <c r="F7" s="64" t="n">
        <v>0</v>
      </c>
      <c r="G7" s="64" t="n">
        <v>8</v>
      </c>
      <c r="H7" s="64" t="n">
        <v>0</v>
      </c>
      <c r="I7" s="64" t="n">
        <v>0</v>
      </c>
      <c r="J7" s="24" t="s">
        <v>160</v>
      </c>
    </row>
    <row r="8" customFormat="false" ht="21" hidden="false" customHeight="true" outlineLevel="0" collapsed="false">
      <c r="A8" s="67" t="s">
        <v>148</v>
      </c>
      <c r="B8" s="35" t="s">
        <v>161</v>
      </c>
      <c r="C8" s="68" t="s">
        <v>150</v>
      </c>
      <c r="D8" s="69" t="n">
        <v>170</v>
      </c>
      <c r="E8" s="70" t="n">
        <v>28</v>
      </c>
      <c r="F8" s="68" t="n">
        <v>0</v>
      </c>
      <c r="G8" s="68" t="n">
        <v>6</v>
      </c>
      <c r="H8" s="68" t="n">
        <v>0</v>
      </c>
      <c r="I8" s="68" t="n">
        <v>0</v>
      </c>
      <c r="J8" s="71" t="s">
        <v>162</v>
      </c>
    </row>
    <row r="9" customFormat="false" ht="21" hidden="false" customHeight="true" outlineLevel="0" collapsed="false">
      <c r="A9" s="62" t="s">
        <v>148</v>
      </c>
      <c r="B9" s="63" t="s">
        <v>163</v>
      </c>
      <c r="C9" s="64" t="s">
        <v>164</v>
      </c>
      <c r="D9" s="65" t="n">
        <v>140</v>
      </c>
      <c r="E9" s="66" t="n">
        <v>18</v>
      </c>
      <c r="F9" s="64" t="n">
        <v>4</v>
      </c>
      <c r="G9" s="64" t="n">
        <v>6</v>
      </c>
      <c r="H9" s="64" t="n">
        <v>2</v>
      </c>
      <c r="I9" s="64" t="n">
        <v>2</v>
      </c>
      <c r="J9" s="24" t="s">
        <v>165</v>
      </c>
    </row>
    <row r="10" customFormat="false" ht="21" hidden="false" customHeight="true" outlineLevel="0" collapsed="false">
      <c r="A10" s="56" t="s">
        <v>166</v>
      </c>
      <c r="B10" s="57" t="s">
        <v>167</v>
      </c>
      <c r="C10" s="58" t="s">
        <v>168</v>
      </c>
      <c r="D10" s="59" t="n">
        <v>165</v>
      </c>
      <c r="E10" s="60" t="n">
        <v>31</v>
      </c>
      <c r="F10" s="58" t="n">
        <v>0</v>
      </c>
      <c r="G10" s="58" t="n">
        <v>3.6</v>
      </c>
      <c r="H10" s="58" t="n">
        <v>0</v>
      </c>
      <c r="I10" s="58" t="n">
        <v>0</v>
      </c>
      <c r="J10" s="61" t="s">
        <v>169</v>
      </c>
    </row>
    <row r="11" customFormat="false" ht="21" hidden="false" customHeight="true" outlineLevel="0" collapsed="false">
      <c r="A11" s="62" t="s">
        <v>166</v>
      </c>
      <c r="B11" s="63" t="s">
        <v>170</v>
      </c>
      <c r="C11" s="64" t="s">
        <v>168</v>
      </c>
      <c r="D11" s="65" t="n">
        <v>250</v>
      </c>
      <c r="E11" s="66" t="n">
        <v>46</v>
      </c>
      <c r="F11" s="64" t="n">
        <v>0</v>
      </c>
      <c r="G11" s="64" t="n">
        <v>5</v>
      </c>
      <c r="H11" s="64" t="n">
        <v>0</v>
      </c>
      <c r="I11" s="64" t="n">
        <v>0</v>
      </c>
      <c r="J11" s="24" t="s">
        <v>171</v>
      </c>
    </row>
    <row r="12" customFormat="false" ht="21" hidden="false" customHeight="true" outlineLevel="0" collapsed="false">
      <c r="A12" s="67" t="s">
        <v>166</v>
      </c>
      <c r="B12" s="35" t="s">
        <v>172</v>
      </c>
      <c r="C12" s="68" t="s">
        <v>173</v>
      </c>
      <c r="D12" s="69" t="n">
        <v>280</v>
      </c>
      <c r="E12" s="70" t="n">
        <v>30</v>
      </c>
      <c r="F12" s="68" t="n">
        <v>4</v>
      </c>
      <c r="G12" s="68" t="n">
        <v>15</v>
      </c>
      <c r="H12" s="68" t="n">
        <v>1</v>
      </c>
      <c r="I12" s="68" t="n">
        <v>2</v>
      </c>
      <c r="J12" s="71" t="s">
        <v>174</v>
      </c>
    </row>
    <row r="13" customFormat="false" ht="21" hidden="false" customHeight="true" outlineLevel="0" collapsed="false">
      <c r="A13" s="62" t="s">
        <v>166</v>
      </c>
      <c r="B13" s="63" t="s">
        <v>175</v>
      </c>
      <c r="C13" s="64" t="s">
        <v>168</v>
      </c>
      <c r="D13" s="65" t="n">
        <v>195</v>
      </c>
      <c r="E13" s="66" t="n">
        <v>26</v>
      </c>
      <c r="F13" s="64" t="n">
        <v>0</v>
      </c>
      <c r="G13" s="64" t="n">
        <v>9</v>
      </c>
      <c r="H13" s="64" t="n">
        <v>0</v>
      </c>
      <c r="I13" s="64" t="n">
        <v>0</v>
      </c>
      <c r="J13" s="24" t="s">
        <v>176</v>
      </c>
    </row>
    <row r="14" customFormat="false" ht="21" hidden="false" customHeight="true" outlineLevel="0" collapsed="false">
      <c r="A14" s="67" t="s">
        <v>166</v>
      </c>
      <c r="B14" s="35" t="s">
        <v>177</v>
      </c>
      <c r="C14" s="68" t="s">
        <v>178</v>
      </c>
      <c r="D14" s="69" t="n">
        <v>78</v>
      </c>
      <c r="E14" s="70" t="n">
        <v>6</v>
      </c>
      <c r="F14" s="68" t="n">
        <v>0.6</v>
      </c>
      <c r="G14" s="68" t="n">
        <v>5.3</v>
      </c>
      <c r="H14" s="68" t="n">
        <v>0</v>
      </c>
      <c r="I14" s="68" t="n">
        <v>0</v>
      </c>
      <c r="J14" s="71" t="s">
        <v>179</v>
      </c>
    </row>
    <row r="15" customFormat="false" ht="21" hidden="false" customHeight="true" outlineLevel="0" collapsed="false">
      <c r="A15" s="62" t="s">
        <v>166</v>
      </c>
      <c r="B15" s="63" t="s">
        <v>180</v>
      </c>
      <c r="C15" s="64" t="s">
        <v>181</v>
      </c>
      <c r="D15" s="65" t="n">
        <v>17</v>
      </c>
      <c r="E15" s="66" t="n">
        <v>3.6</v>
      </c>
      <c r="F15" s="64" t="n">
        <v>0.2</v>
      </c>
      <c r="G15" s="64" t="n">
        <v>0.1</v>
      </c>
      <c r="H15" s="64" t="n">
        <v>0</v>
      </c>
      <c r="I15" s="64" t="n">
        <v>0</v>
      </c>
      <c r="J15" s="24" t="s">
        <v>182</v>
      </c>
    </row>
    <row r="16" customFormat="false" ht="21" hidden="false" customHeight="true" outlineLevel="0" collapsed="false">
      <c r="A16" s="56" t="s">
        <v>183</v>
      </c>
      <c r="B16" s="57" t="s">
        <v>184</v>
      </c>
      <c r="C16" s="58" t="s">
        <v>185</v>
      </c>
      <c r="D16" s="59" t="n">
        <v>190</v>
      </c>
      <c r="E16" s="60" t="n">
        <v>15</v>
      </c>
      <c r="F16" s="58" t="n">
        <v>8</v>
      </c>
      <c r="G16" s="58" t="n">
        <v>12</v>
      </c>
      <c r="H16" s="58" t="n">
        <v>5</v>
      </c>
      <c r="I16" s="58" t="n">
        <v>3</v>
      </c>
      <c r="J16" s="61" t="s">
        <v>186</v>
      </c>
    </row>
    <row r="17" customFormat="false" ht="21" hidden="false" customHeight="true" outlineLevel="0" collapsed="false">
      <c r="A17" s="62" t="s">
        <v>183</v>
      </c>
      <c r="B17" s="63" t="s">
        <v>187</v>
      </c>
      <c r="C17" s="64" t="s">
        <v>185</v>
      </c>
      <c r="D17" s="65" t="n">
        <v>135</v>
      </c>
      <c r="E17" s="66" t="n">
        <v>15</v>
      </c>
      <c r="F17" s="64" t="n">
        <v>8</v>
      </c>
      <c r="G17" s="64" t="n">
        <v>5</v>
      </c>
      <c r="H17" s="64" t="n">
        <v>5</v>
      </c>
      <c r="I17" s="64" t="n">
        <v>3</v>
      </c>
      <c r="J17" s="24" t="s">
        <v>188</v>
      </c>
    </row>
    <row r="18" customFormat="false" ht="21" hidden="false" customHeight="true" outlineLevel="0" collapsed="false">
      <c r="A18" s="67" t="s">
        <v>183</v>
      </c>
      <c r="B18" s="35" t="s">
        <v>189</v>
      </c>
      <c r="C18" s="68" t="s">
        <v>190</v>
      </c>
      <c r="D18" s="69" t="n">
        <v>80</v>
      </c>
      <c r="E18" s="70" t="n">
        <v>8</v>
      </c>
      <c r="F18" s="68" t="n">
        <v>2</v>
      </c>
      <c r="G18" s="68" t="n">
        <v>4.5</v>
      </c>
      <c r="H18" s="68" t="n">
        <v>1</v>
      </c>
      <c r="I18" s="68" t="n">
        <v>1</v>
      </c>
      <c r="J18" s="71" t="s">
        <v>191</v>
      </c>
    </row>
    <row r="19" customFormat="false" ht="21" hidden="false" customHeight="true" outlineLevel="0" collapsed="false">
      <c r="A19" s="62" t="s">
        <v>183</v>
      </c>
      <c r="B19" s="63" t="s">
        <v>192</v>
      </c>
      <c r="C19" s="64" t="s">
        <v>168</v>
      </c>
      <c r="D19" s="65" t="n">
        <v>100</v>
      </c>
      <c r="E19" s="66" t="n">
        <v>15</v>
      </c>
      <c r="F19" s="64" t="n">
        <v>6</v>
      </c>
      <c r="G19" s="64" t="n">
        <v>0</v>
      </c>
      <c r="H19" s="64" t="n">
        <v>0</v>
      </c>
      <c r="I19" s="64" t="n">
        <v>2</v>
      </c>
      <c r="J19" s="24" t="s">
        <v>193</v>
      </c>
    </row>
    <row r="20" customFormat="false" ht="21" hidden="false" customHeight="true" outlineLevel="0" collapsed="false">
      <c r="A20" s="67" t="s">
        <v>183</v>
      </c>
      <c r="B20" s="35" t="s">
        <v>194</v>
      </c>
      <c r="C20" s="68" t="s">
        <v>168</v>
      </c>
      <c r="D20" s="69" t="n">
        <v>120</v>
      </c>
      <c r="E20" s="70" t="n">
        <v>18</v>
      </c>
      <c r="F20" s="68" t="n">
        <v>5</v>
      </c>
      <c r="G20" s="68" t="n">
        <v>2</v>
      </c>
      <c r="H20" s="68" t="n">
        <v>0</v>
      </c>
      <c r="I20" s="68" t="n">
        <v>2</v>
      </c>
      <c r="J20" s="71" t="s">
        <v>195</v>
      </c>
    </row>
    <row r="21" customFormat="false" ht="21" hidden="false" customHeight="true" outlineLevel="0" collapsed="false">
      <c r="A21" s="62" t="s">
        <v>183</v>
      </c>
      <c r="B21" s="63" t="s">
        <v>196</v>
      </c>
      <c r="C21" s="64" t="s">
        <v>190</v>
      </c>
      <c r="D21" s="65" t="n">
        <v>122</v>
      </c>
      <c r="E21" s="66" t="n">
        <v>11</v>
      </c>
      <c r="F21" s="64" t="n">
        <v>10</v>
      </c>
      <c r="G21" s="64" t="n">
        <v>5</v>
      </c>
      <c r="H21" s="64" t="n">
        <v>5</v>
      </c>
      <c r="I21" s="64" t="n">
        <v>3</v>
      </c>
      <c r="J21" s="24" t="s">
        <v>197</v>
      </c>
    </row>
    <row r="22" customFormat="false" ht="21" hidden="false" customHeight="true" outlineLevel="0" collapsed="false">
      <c r="A22" s="56" t="s">
        <v>198</v>
      </c>
      <c r="B22" s="57" t="s">
        <v>199</v>
      </c>
      <c r="C22" s="58" t="s">
        <v>200</v>
      </c>
      <c r="D22" s="59" t="n">
        <v>215</v>
      </c>
      <c r="E22" s="60" t="n">
        <v>5</v>
      </c>
      <c r="F22" s="58" t="n">
        <v>45</v>
      </c>
      <c r="G22" s="58" t="n">
        <v>1.8</v>
      </c>
      <c r="H22" s="58" t="n">
        <v>3.5</v>
      </c>
      <c r="I22" s="58" t="n">
        <v>16</v>
      </c>
      <c r="J22" s="61" t="s">
        <v>201</v>
      </c>
    </row>
    <row r="23" customFormat="false" ht="21" hidden="false" customHeight="true" outlineLevel="0" collapsed="false">
      <c r="A23" s="62" t="s">
        <v>198</v>
      </c>
      <c r="B23" s="63" t="s">
        <v>202</v>
      </c>
      <c r="C23" s="64" t="s">
        <v>200</v>
      </c>
      <c r="D23" s="65" t="n">
        <v>205</v>
      </c>
      <c r="E23" s="66" t="n">
        <v>4</v>
      </c>
      <c r="F23" s="64" t="n">
        <v>45</v>
      </c>
      <c r="G23" s="64" t="n">
        <v>0.4</v>
      </c>
      <c r="H23" s="64" t="n">
        <v>0.6</v>
      </c>
      <c r="I23" s="64" t="n">
        <v>23</v>
      </c>
      <c r="J23" s="24" t="s">
        <v>203</v>
      </c>
    </row>
    <row r="24" customFormat="false" ht="21" hidden="false" customHeight="true" outlineLevel="0" collapsed="false">
      <c r="A24" s="67" t="s">
        <v>198</v>
      </c>
      <c r="B24" s="35" t="s">
        <v>204</v>
      </c>
      <c r="C24" s="68" t="s">
        <v>200</v>
      </c>
      <c r="D24" s="69" t="n">
        <v>190</v>
      </c>
      <c r="E24" s="70" t="n">
        <v>4</v>
      </c>
      <c r="F24" s="68" t="n">
        <v>40</v>
      </c>
      <c r="G24" s="68" t="n">
        <v>0.5</v>
      </c>
      <c r="H24" s="68" t="n">
        <v>1</v>
      </c>
      <c r="I24" s="68" t="n">
        <v>12</v>
      </c>
      <c r="J24" s="71" t="s">
        <v>205</v>
      </c>
    </row>
    <row r="25" customFormat="false" ht="21" hidden="false" customHeight="true" outlineLevel="0" collapsed="false">
      <c r="A25" s="62" t="s">
        <v>198</v>
      </c>
      <c r="B25" s="63" t="s">
        <v>206</v>
      </c>
      <c r="C25" s="64" t="s">
        <v>207</v>
      </c>
      <c r="D25" s="65" t="n">
        <v>150</v>
      </c>
      <c r="E25" s="66" t="n">
        <v>5</v>
      </c>
      <c r="F25" s="64" t="n">
        <v>27</v>
      </c>
      <c r="G25" s="64" t="n">
        <v>2.5</v>
      </c>
      <c r="H25" s="64" t="n">
        <v>4</v>
      </c>
      <c r="I25" s="64" t="n">
        <v>10</v>
      </c>
      <c r="J25" s="24" t="s">
        <v>208</v>
      </c>
    </row>
    <row r="26" customFormat="false" ht="21" hidden="false" customHeight="true" outlineLevel="0" collapsed="false">
      <c r="A26" s="67" t="s">
        <v>198</v>
      </c>
      <c r="B26" s="35" t="s">
        <v>209</v>
      </c>
      <c r="C26" s="68" t="s">
        <v>210</v>
      </c>
      <c r="D26" s="69" t="n">
        <v>140</v>
      </c>
      <c r="E26" s="70" t="n">
        <v>6</v>
      </c>
      <c r="F26" s="68" t="n">
        <v>24</v>
      </c>
      <c r="G26" s="68" t="n">
        <v>2</v>
      </c>
      <c r="H26" s="68" t="n">
        <v>4</v>
      </c>
      <c r="I26" s="68" t="n">
        <v>8</v>
      </c>
      <c r="J26" s="71" t="s">
        <v>211</v>
      </c>
    </row>
    <row r="27" customFormat="false" ht="21" hidden="false" customHeight="true" outlineLevel="0" collapsed="false">
      <c r="A27" s="62" t="s">
        <v>198</v>
      </c>
      <c r="B27" s="63" t="s">
        <v>212</v>
      </c>
      <c r="C27" s="64" t="s">
        <v>168</v>
      </c>
      <c r="D27" s="65" t="n">
        <v>135</v>
      </c>
      <c r="E27" s="66" t="n">
        <v>2</v>
      </c>
      <c r="F27" s="64" t="n">
        <v>32</v>
      </c>
      <c r="G27" s="64" t="n">
        <v>0.1</v>
      </c>
      <c r="H27" s="64" t="n">
        <v>4</v>
      </c>
      <c r="I27" s="64" t="n">
        <v>9</v>
      </c>
      <c r="J27" s="24" t="s">
        <v>213</v>
      </c>
    </row>
    <row r="28" customFormat="false" ht="21" hidden="false" customHeight="true" outlineLevel="0" collapsed="false">
      <c r="A28" s="67" t="s">
        <v>198</v>
      </c>
      <c r="B28" s="35" t="s">
        <v>214</v>
      </c>
      <c r="C28" s="68" t="s">
        <v>215</v>
      </c>
      <c r="D28" s="69" t="n">
        <v>220</v>
      </c>
      <c r="E28" s="70" t="n">
        <v>8</v>
      </c>
      <c r="F28" s="68" t="n">
        <v>39</v>
      </c>
      <c r="G28" s="68" t="n">
        <v>3.5</v>
      </c>
      <c r="H28" s="68" t="n">
        <v>5</v>
      </c>
      <c r="I28" s="68" t="n">
        <v>13</v>
      </c>
      <c r="J28" s="71" t="s">
        <v>216</v>
      </c>
    </row>
    <row r="29" customFormat="false" ht="21" hidden="false" customHeight="true" outlineLevel="0" collapsed="false">
      <c r="A29" s="62" t="s">
        <v>198</v>
      </c>
      <c r="B29" s="63" t="s">
        <v>217</v>
      </c>
      <c r="C29" s="64" t="s">
        <v>218</v>
      </c>
      <c r="D29" s="65" t="n">
        <v>300</v>
      </c>
      <c r="E29" s="66" t="n">
        <v>6</v>
      </c>
      <c r="F29" s="64" t="n">
        <v>45</v>
      </c>
      <c r="G29" s="64" t="n">
        <v>10</v>
      </c>
      <c r="H29" s="64" t="n">
        <v>2</v>
      </c>
      <c r="I29" s="64" t="n">
        <v>18</v>
      </c>
      <c r="J29" s="24" t="s">
        <v>219</v>
      </c>
    </row>
    <row r="30" customFormat="false" ht="21" hidden="false" customHeight="true" outlineLevel="0" collapsed="false">
      <c r="A30" s="67" t="s">
        <v>198</v>
      </c>
      <c r="B30" s="35" t="s">
        <v>220</v>
      </c>
      <c r="C30" s="68" t="s">
        <v>218</v>
      </c>
      <c r="D30" s="69" t="n">
        <v>170</v>
      </c>
      <c r="E30" s="70" t="n">
        <v>4</v>
      </c>
      <c r="F30" s="68" t="n">
        <v>35</v>
      </c>
      <c r="G30" s="68" t="n">
        <v>1</v>
      </c>
      <c r="H30" s="68" t="n">
        <v>2</v>
      </c>
      <c r="I30" s="68" t="n">
        <v>10</v>
      </c>
      <c r="J30" s="71" t="s">
        <v>221</v>
      </c>
    </row>
    <row r="31" customFormat="false" ht="21" hidden="false" customHeight="true" outlineLevel="0" collapsed="false">
      <c r="A31" s="62" t="s">
        <v>198</v>
      </c>
      <c r="B31" s="63" t="s">
        <v>222</v>
      </c>
      <c r="C31" s="64" t="s">
        <v>223</v>
      </c>
      <c r="D31" s="65" t="n">
        <v>400</v>
      </c>
      <c r="E31" s="66" t="n">
        <v>12</v>
      </c>
      <c r="F31" s="64" t="n">
        <v>55</v>
      </c>
      <c r="G31" s="64" t="n">
        <v>15</v>
      </c>
      <c r="H31" s="64" t="n">
        <v>3</v>
      </c>
      <c r="I31" s="64" t="n">
        <v>25</v>
      </c>
      <c r="J31" s="24" t="s">
        <v>224</v>
      </c>
    </row>
    <row r="32" customFormat="false" ht="21" hidden="false" customHeight="true" outlineLevel="0" collapsed="false">
      <c r="A32" s="67" t="s">
        <v>198</v>
      </c>
      <c r="B32" s="35" t="s">
        <v>225</v>
      </c>
      <c r="C32" s="68" t="s">
        <v>226</v>
      </c>
      <c r="D32" s="69" t="n">
        <v>700</v>
      </c>
      <c r="E32" s="70" t="n">
        <v>30</v>
      </c>
      <c r="F32" s="68" t="n">
        <v>75</v>
      </c>
      <c r="G32" s="68" t="n">
        <v>32</v>
      </c>
      <c r="H32" s="68" t="n">
        <v>4</v>
      </c>
      <c r="I32" s="68" t="n">
        <v>35</v>
      </c>
      <c r="J32" s="71" t="s">
        <v>227</v>
      </c>
    </row>
    <row r="33" customFormat="false" ht="21" hidden="false" customHeight="true" outlineLevel="0" collapsed="false">
      <c r="A33" s="72" t="s">
        <v>228</v>
      </c>
      <c r="B33" s="73" t="s">
        <v>229</v>
      </c>
      <c r="C33" s="74" t="s">
        <v>230</v>
      </c>
      <c r="D33" s="75" t="n">
        <v>60</v>
      </c>
      <c r="E33" s="76" t="n">
        <v>3</v>
      </c>
      <c r="F33" s="74" t="n">
        <v>12</v>
      </c>
      <c r="G33" s="74" t="n">
        <v>0.5</v>
      </c>
      <c r="H33" s="74" t="n">
        <v>4</v>
      </c>
      <c r="I33" s="74" t="n">
        <v>3</v>
      </c>
      <c r="J33" s="77" t="s">
        <v>231</v>
      </c>
    </row>
    <row r="34" customFormat="false" ht="21" hidden="false" customHeight="true" outlineLevel="0" collapsed="false">
      <c r="A34" s="67" t="s">
        <v>228</v>
      </c>
      <c r="B34" s="35" t="s">
        <v>232</v>
      </c>
      <c r="C34" s="68" t="s">
        <v>190</v>
      </c>
      <c r="D34" s="69" t="n">
        <v>35</v>
      </c>
      <c r="E34" s="70" t="n">
        <v>3</v>
      </c>
      <c r="F34" s="68" t="n">
        <v>7</v>
      </c>
      <c r="G34" s="68" t="n">
        <v>0.4</v>
      </c>
      <c r="H34" s="68" t="n">
        <v>2.6</v>
      </c>
      <c r="I34" s="68" t="n">
        <v>2</v>
      </c>
      <c r="J34" s="71" t="s">
        <v>233</v>
      </c>
    </row>
    <row r="35" customFormat="false" ht="21" hidden="false" customHeight="true" outlineLevel="0" collapsed="false">
      <c r="A35" s="62" t="s">
        <v>228</v>
      </c>
      <c r="B35" s="63" t="s">
        <v>234</v>
      </c>
      <c r="C35" s="64" t="s">
        <v>190</v>
      </c>
      <c r="D35" s="65" t="n">
        <v>75</v>
      </c>
      <c r="E35" s="66" t="n">
        <v>3</v>
      </c>
      <c r="F35" s="64" t="n">
        <v>5</v>
      </c>
      <c r="G35" s="64" t="n">
        <v>5</v>
      </c>
      <c r="H35" s="64" t="n">
        <v>3</v>
      </c>
      <c r="I35" s="64" t="n">
        <v>1</v>
      </c>
      <c r="J35" s="24" t="s">
        <v>235</v>
      </c>
    </row>
    <row r="36" customFormat="false" ht="21" hidden="false" customHeight="true" outlineLevel="0" collapsed="false">
      <c r="A36" s="67" t="s">
        <v>228</v>
      </c>
      <c r="B36" s="35" t="s">
        <v>236</v>
      </c>
      <c r="C36" s="68" t="s">
        <v>190</v>
      </c>
      <c r="D36" s="69" t="n">
        <v>120</v>
      </c>
      <c r="E36" s="70" t="n">
        <v>3</v>
      </c>
      <c r="F36" s="68" t="n">
        <v>8</v>
      </c>
      <c r="G36" s="68" t="n">
        <v>8</v>
      </c>
      <c r="H36" s="68" t="n">
        <v>3</v>
      </c>
      <c r="I36" s="68" t="n">
        <v>2</v>
      </c>
      <c r="J36" s="71" t="s">
        <v>237</v>
      </c>
    </row>
    <row r="37" customFormat="false" ht="21" hidden="false" customHeight="true" outlineLevel="0" collapsed="false">
      <c r="A37" s="62" t="s">
        <v>228</v>
      </c>
      <c r="B37" s="63" t="s">
        <v>238</v>
      </c>
      <c r="C37" s="64" t="s">
        <v>239</v>
      </c>
      <c r="D37" s="65" t="n">
        <v>45</v>
      </c>
      <c r="E37" s="66" t="n">
        <v>2</v>
      </c>
      <c r="F37" s="64" t="n">
        <v>8</v>
      </c>
      <c r="G37" s="64" t="n">
        <v>0.5</v>
      </c>
      <c r="H37" s="64" t="n">
        <v>4</v>
      </c>
      <c r="I37" s="64" t="n">
        <v>2</v>
      </c>
      <c r="J37" s="24" t="s">
        <v>240</v>
      </c>
    </row>
    <row r="38" customFormat="false" ht="21" hidden="false" customHeight="true" outlineLevel="0" collapsed="false">
      <c r="A38" s="67" t="s">
        <v>228</v>
      </c>
      <c r="B38" s="35" t="s">
        <v>241</v>
      </c>
      <c r="C38" s="68" t="s">
        <v>242</v>
      </c>
      <c r="D38" s="69" t="n">
        <v>30</v>
      </c>
      <c r="E38" s="70" t="n">
        <v>1</v>
      </c>
      <c r="F38" s="68" t="n">
        <v>7</v>
      </c>
      <c r="G38" s="68" t="n">
        <v>0.2</v>
      </c>
      <c r="H38" s="68" t="n">
        <v>1.5</v>
      </c>
      <c r="I38" s="68" t="n">
        <v>2</v>
      </c>
      <c r="J38" s="71" t="s">
        <v>243</v>
      </c>
    </row>
    <row r="39" customFormat="false" ht="21" hidden="false" customHeight="true" outlineLevel="0" collapsed="false">
      <c r="A39" s="62" t="s">
        <v>228</v>
      </c>
      <c r="B39" s="63" t="s">
        <v>244</v>
      </c>
      <c r="C39" s="64" t="s">
        <v>245</v>
      </c>
      <c r="D39" s="65" t="n">
        <v>40</v>
      </c>
      <c r="E39" s="66" t="n">
        <v>2</v>
      </c>
      <c r="F39" s="64" t="n">
        <v>8</v>
      </c>
      <c r="G39" s="64" t="n">
        <v>0.5</v>
      </c>
      <c r="H39" s="64" t="n">
        <v>3</v>
      </c>
      <c r="I39" s="64" t="n">
        <v>2</v>
      </c>
      <c r="J39" s="24" t="s">
        <v>246</v>
      </c>
    </row>
    <row r="40" customFormat="false" ht="21" hidden="false" customHeight="true" outlineLevel="0" collapsed="false">
      <c r="A40" s="67" t="s">
        <v>228</v>
      </c>
      <c r="B40" s="35" t="s">
        <v>247</v>
      </c>
      <c r="C40" s="68" t="s">
        <v>190</v>
      </c>
      <c r="D40" s="69" t="n">
        <v>35</v>
      </c>
      <c r="E40" s="70" t="n">
        <v>1</v>
      </c>
      <c r="F40" s="68" t="n">
        <v>8</v>
      </c>
      <c r="G40" s="68" t="n">
        <v>0.2</v>
      </c>
      <c r="H40" s="68" t="n">
        <v>2.8</v>
      </c>
      <c r="I40" s="68" t="n">
        <v>3</v>
      </c>
      <c r="J40" s="71" t="s">
        <v>248</v>
      </c>
    </row>
    <row r="41" customFormat="false" ht="21" hidden="false" customHeight="true" outlineLevel="0" collapsed="false">
      <c r="A41" s="72" t="s">
        <v>249</v>
      </c>
      <c r="B41" s="73" t="s">
        <v>250</v>
      </c>
      <c r="C41" s="74" t="s">
        <v>251</v>
      </c>
      <c r="D41" s="75" t="n">
        <v>95</v>
      </c>
      <c r="E41" s="76" t="n">
        <v>0.5</v>
      </c>
      <c r="F41" s="74" t="n">
        <v>25</v>
      </c>
      <c r="G41" s="74" t="n">
        <v>0.3</v>
      </c>
      <c r="H41" s="74" t="n">
        <v>4.4</v>
      </c>
      <c r="I41" s="74" t="n">
        <v>6</v>
      </c>
      <c r="J41" s="77" t="s">
        <v>252</v>
      </c>
    </row>
    <row r="42" customFormat="false" ht="21" hidden="false" customHeight="true" outlineLevel="0" collapsed="false">
      <c r="A42" s="67" t="s">
        <v>249</v>
      </c>
      <c r="B42" s="35" t="s">
        <v>253</v>
      </c>
      <c r="C42" s="68" t="s">
        <v>254</v>
      </c>
      <c r="D42" s="69" t="n">
        <v>105</v>
      </c>
      <c r="E42" s="70" t="n">
        <v>1.3</v>
      </c>
      <c r="F42" s="68" t="n">
        <v>27</v>
      </c>
      <c r="G42" s="68" t="n">
        <v>0.4</v>
      </c>
      <c r="H42" s="68" t="n">
        <v>3.1</v>
      </c>
      <c r="I42" s="68" t="n">
        <v>12</v>
      </c>
      <c r="J42" s="71" t="s">
        <v>255</v>
      </c>
    </row>
    <row r="43" customFormat="false" ht="21" hidden="false" customHeight="true" outlineLevel="0" collapsed="false">
      <c r="A43" s="62" t="s">
        <v>249</v>
      </c>
      <c r="B43" s="63" t="s">
        <v>256</v>
      </c>
      <c r="C43" s="64" t="s">
        <v>257</v>
      </c>
      <c r="D43" s="65" t="n">
        <v>55</v>
      </c>
      <c r="E43" s="66" t="n">
        <v>1</v>
      </c>
      <c r="F43" s="64" t="n">
        <v>14</v>
      </c>
      <c r="G43" s="64" t="n">
        <v>0.2</v>
      </c>
      <c r="H43" s="64" t="n">
        <v>2.5</v>
      </c>
      <c r="I43" s="64" t="n">
        <v>6</v>
      </c>
      <c r="J43" s="24" t="s">
        <v>258</v>
      </c>
    </row>
    <row r="44" customFormat="false" ht="21" hidden="false" customHeight="true" outlineLevel="0" collapsed="false">
      <c r="A44" s="67" t="s">
        <v>249</v>
      </c>
      <c r="B44" s="35" t="s">
        <v>259</v>
      </c>
      <c r="C44" s="68" t="s">
        <v>260</v>
      </c>
      <c r="D44" s="69" t="n">
        <v>46</v>
      </c>
      <c r="E44" s="70" t="n">
        <v>0.9</v>
      </c>
      <c r="F44" s="68" t="n">
        <v>12</v>
      </c>
      <c r="G44" s="68" t="n">
        <v>0.2</v>
      </c>
      <c r="H44" s="68" t="n">
        <v>0.6</v>
      </c>
      <c r="I44" s="68" t="n">
        <v>5</v>
      </c>
      <c r="J44" s="71" t="s">
        <v>261</v>
      </c>
    </row>
    <row r="45" customFormat="false" ht="21" hidden="false" customHeight="true" outlineLevel="0" collapsed="false">
      <c r="A45" s="62" t="s">
        <v>249</v>
      </c>
      <c r="B45" s="63" t="s">
        <v>262</v>
      </c>
      <c r="C45" s="64" t="s">
        <v>263</v>
      </c>
      <c r="D45" s="65" t="n">
        <v>120</v>
      </c>
      <c r="E45" s="66" t="n">
        <v>1.5</v>
      </c>
      <c r="F45" s="64" t="n">
        <v>6</v>
      </c>
      <c r="G45" s="64" t="n">
        <v>11</v>
      </c>
      <c r="H45" s="64" t="n">
        <v>5</v>
      </c>
      <c r="I45" s="64" t="n">
        <v>1</v>
      </c>
      <c r="J45" s="24" t="s">
        <v>264</v>
      </c>
    </row>
    <row r="46" customFormat="false" ht="21" hidden="false" customHeight="true" outlineLevel="0" collapsed="false">
      <c r="A46" s="67" t="s">
        <v>249</v>
      </c>
      <c r="B46" s="35" t="s">
        <v>265</v>
      </c>
      <c r="C46" s="68" t="s">
        <v>260</v>
      </c>
      <c r="D46" s="69" t="n">
        <v>85</v>
      </c>
      <c r="E46" s="70" t="n">
        <v>1</v>
      </c>
      <c r="F46" s="68" t="n">
        <v>21</v>
      </c>
      <c r="G46" s="68" t="n">
        <v>0.5</v>
      </c>
      <c r="H46" s="68" t="n">
        <v>4</v>
      </c>
      <c r="I46" s="68" t="n">
        <v>6</v>
      </c>
      <c r="J46" s="71" t="s">
        <v>266</v>
      </c>
    </row>
    <row r="47" customFormat="false" ht="21" hidden="false" customHeight="true" outlineLevel="0" collapsed="false">
      <c r="A47" s="62" t="s">
        <v>249</v>
      </c>
      <c r="B47" s="63" t="s">
        <v>267</v>
      </c>
      <c r="C47" s="64" t="s">
        <v>268</v>
      </c>
      <c r="D47" s="65" t="n">
        <v>68</v>
      </c>
      <c r="E47" s="66" t="n">
        <v>2.6</v>
      </c>
      <c r="F47" s="64" t="n">
        <v>14</v>
      </c>
      <c r="G47" s="64" t="n">
        <v>1</v>
      </c>
      <c r="H47" s="64" t="n">
        <v>5.4</v>
      </c>
      <c r="I47" s="64" t="n">
        <v>5</v>
      </c>
      <c r="J47" s="24" t="s">
        <v>269</v>
      </c>
    </row>
    <row r="48" customFormat="false" ht="21" hidden="false" customHeight="true" outlineLevel="0" collapsed="false">
      <c r="A48" s="67" t="s">
        <v>249</v>
      </c>
      <c r="B48" s="35" t="s">
        <v>270</v>
      </c>
      <c r="C48" s="68" t="s">
        <v>271</v>
      </c>
      <c r="D48" s="69" t="n">
        <v>62</v>
      </c>
      <c r="E48" s="70" t="n">
        <v>1.2</v>
      </c>
      <c r="F48" s="68" t="n">
        <v>15</v>
      </c>
      <c r="G48" s="68" t="n">
        <v>0.2</v>
      </c>
      <c r="H48" s="68" t="n">
        <v>3.1</v>
      </c>
      <c r="I48" s="68" t="n">
        <v>4</v>
      </c>
      <c r="J48" s="71" t="s">
        <v>272</v>
      </c>
    </row>
    <row r="49" customFormat="false" ht="21" hidden="false" customHeight="true" outlineLevel="0" collapsed="false">
      <c r="A49" s="72" t="s">
        <v>273</v>
      </c>
      <c r="B49" s="73" t="s">
        <v>274</v>
      </c>
      <c r="C49" s="74" t="s">
        <v>275</v>
      </c>
      <c r="D49" s="75" t="n">
        <v>105</v>
      </c>
      <c r="E49" s="76" t="n">
        <v>4</v>
      </c>
      <c r="F49" s="74" t="n">
        <v>3.5</v>
      </c>
      <c r="G49" s="74" t="n">
        <v>9</v>
      </c>
      <c r="H49" s="74" t="n">
        <v>2</v>
      </c>
      <c r="I49" s="74" t="n">
        <v>0</v>
      </c>
      <c r="J49" s="77" t="s">
        <v>276</v>
      </c>
    </row>
    <row r="50" customFormat="false" ht="21" hidden="false" customHeight="true" outlineLevel="0" collapsed="false">
      <c r="A50" s="67" t="s">
        <v>273</v>
      </c>
      <c r="B50" s="35" t="s">
        <v>277</v>
      </c>
      <c r="C50" s="68" t="s">
        <v>278</v>
      </c>
      <c r="D50" s="69" t="n">
        <v>98</v>
      </c>
      <c r="E50" s="70" t="n">
        <v>2.3</v>
      </c>
      <c r="F50" s="68" t="n">
        <v>2</v>
      </c>
      <c r="G50" s="68" t="n">
        <v>9.8</v>
      </c>
      <c r="H50" s="68" t="n">
        <v>1</v>
      </c>
      <c r="I50" s="68" t="n">
        <v>0</v>
      </c>
      <c r="J50" s="71" t="s">
        <v>279</v>
      </c>
    </row>
    <row r="51" customFormat="false" ht="21" hidden="false" customHeight="true" outlineLevel="0" collapsed="false">
      <c r="A51" s="62" t="s">
        <v>273</v>
      </c>
      <c r="B51" s="63" t="s">
        <v>280</v>
      </c>
      <c r="C51" s="64" t="s">
        <v>278</v>
      </c>
      <c r="D51" s="65" t="n">
        <v>73</v>
      </c>
      <c r="E51" s="66" t="n">
        <v>2.5</v>
      </c>
      <c r="F51" s="64" t="n">
        <v>6.5</v>
      </c>
      <c r="G51" s="64" t="n">
        <v>4.7</v>
      </c>
      <c r="H51" s="64" t="n">
        <v>5.5</v>
      </c>
      <c r="I51" s="64" t="n">
        <v>0</v>
      </c>
      <c r="J51" s="24" t="s">
        <v>281</v>
      </c>
    </row>
    <row r="52" customFormat="false" ht="21" hidden="false" customHeight="true" outlineLevel="0" collapsed="false">
      <c r="A52" s="67" t="s">
        <v>273</v>
      </c>
      <c r="B52" s="35" t="s">
        <v>282</v>
      </c>
      <c r="C52" s="68" t="s">
        <v>278</v>
      </c>
      <c r="D52" s="69" t="n">
        <v>85</v>
      </c>
      <c r="E52" s="70" t="n">
        <v>4</v>
      </c>
      <c r="F52" s="68" t="n">
        <v>2</v>
      </c>
      <c r="G52" s="68" t="n">
        <v>7</v>
      </c>
      <c r="H52" s="68" t="n">
        <v>1</v>
      </c>
      <c r="I52" s="68" t="n">
        <v>0</v>
      </c>
      <c r="J52" s="71" t="s">
        <v>283</v>
      </c>
    </row>
    <row r="53" customFormat="false" ht="21" hidden="false" customHeight="true" outlineLevel="0" collapsed="false">
      <c r="A53" s="72" t="s">
        <v>284</v>
      </c>
      <c r="B53" s="73" t="s">
        <v>285</v>
      </c>
      <c r="C53" s="74" t="s">
        <v>286</v>
      </c>
      <c r="D53" s="75" t="n">
        <v>0</v>
      </c>
      <c r="E53" s="76" t="n">
        <v>0</v>
      </c>
      <c r="F53" s="74" t="n">
        <v>0</v>
      </c>
      <c r="G53" s="74" t="n">
        <v>0</v>
      </c>
      <c r="H53" s="74" t="n">
        <v>0</v>
      </c>
      <c r="I53" s="74" t="n">
        <v>0</v>
      </c>
      <c r="J53" s="77" t="s">
        <v>287</v>
      </c>
    </row>
    <row r="54" customFormat="false" ht="21" hidden="false" customHeight="true" outlineLevel="0" collapsed="false">
      <c r="A54" s="67" t="s">
        <v>284</v>
      </c>
      <c r="B54" s="35" t="s">
        <v>288</v>
      </c>
      <c r="C54" s="68" t="s">
        <v>289</v>
      </c>
      <c r="D54" s="69" t="n">
        <v>5</v>
      </c>
      <c r="E54" s="70" t="n">
        <v>0.3</v>
      </c>
      <c r="F54" s="68" t="n">
        <v>0</v>
      </c>
      <c r="G54" s="68" t="n">
        <v>0</v>
      </c>
      <c r="H54" s="68" t="n">
        <v>0</v>
      </c>
      <c r="I54" s="68" t="n">
        <v>0</v>
      </c>
      <c r="J54" s="71" t="s">
        <v>290</v>
      </c>
    </row>
    <row r="55" customFormat="false" ht="21" hidden="false" customHeight="true" outlineLevel="0" collapsed="false">
      <c r="A55" s="62" t="s">
        <v>284</v>
      </c>
      <c r="B55" s="63" t="s">
        <v>291</v>
      </c>
      <c r="C55" s="64" t="s">
        <v>289</v>
      </c>
      <c r="D55" s="65" t="n">
        <v>2</v>
      </c>
      <c r="E55" s="66" t="n">
        <v>0</v>
      </c>
      <c r="F55" s="64" t="n">
        <v>0.5</v>
      </c>
      <c r="G55" s="64" t="n">
        <v>0</v>
      </c>
      <c r="H55" s="64" t="n">
        <v>0</v>
      </c>
      <c r="I55" s="64" t="n">
        <v>0</v>
      </c>
      <c r="J55" s="24" t="s">
        <v>292</v>
      </c>
    </row>
    <row r="56" customFormat="false" ht="21" hidden="false" customHeight="true" outlineLevel="0" collapsed="false">
      <c r="A56" s="67" t="s">
        <v>284</v>
      </c>
      <c r="B56" s="35" t="s">
        <v>293</v>
      </c>
      <c r="C56" s="68" t="s">
        <v>286</v>
      </c>
      <c r="D56" s="69" t="n">
        <v>85</v>
      </c>
      <c r="E56" s="70" t="n">
        <v>8</v>
      </c>
      <c r="F56" s="68" t="n">
        <v>12</v>
      </c>
      <c r="G56" s="68" t="n">
        <v>0.2</v>
      </c>
      <c r="H56" s="68" t="n">
        <v>0</v>
      </c>
      <c r="I56" s="68" t="n">
        <v>6</v>
      </c>
      <c r="J56" s="71" t="s">
        <v>294</v>
      </c>
    </row>
    <row r="57" customFormat="false" ht="21" hidden="false" customHeight="true" outlineLevel="0" collapsed="false">
      <c r="A57" s="62" t="s">
        <v>284</v>
      </c>
      <c r="B57" s="63" t="s">
        <v>295</v>
      </c>
      <c r="C57" s="64" t="s">
        <v>296</v>
      </c>
      <c r="D57" s="65" t="n">
        <v>180</v>
      </c>
      <c r="E57" s="66" t="n">
        <v>4</v>
      </c>
      <c r="F57" s="64" t="n">
        <v>28</v>
      </c>
      <c r="G57" s="64" t="n">
        <v>6</v>
      </c>
      <c r="H57" s="64" t="n">
        <v>0</v>
      </c>
      <c r="I57" s="64" t="n">
        <v>14</v>
      </c>
      <c r="J57" s="24" t="s">
        <v>297</v>
      </c>
    </row>
    <row r="58" customFormat="false" ht="21" hidden="false" customHeight="true" outlineLevel="0" collapsed="false">
      <c r="A58" s="67" t="s">
        <v>284</v>
      </c>
      <c r="B58" s="35" t="s">
        <v>298</v>
      </c>
      <c r="C58" s="68" t="s">
        <v>296</v>
      </c>
      <c r="D58" s="69" t="n">
        <v>130</v>
      </c>
      <c r="E58" s="70" t="n">
        <v>3</v>
      </c>
      <c r="F58" s="68" t="n">
        <v>20</v>
      </c>
      <c r="G58" s="68" t="n">
        <v>4</v>
      </c>
      <c r="H58" s="68" t="n">
        <v>0</v>
      </c>
      <c r="I58" s="68" t="n">
        <v>10</v>
      </c>
      <c r="J58" s="71" t="s">
        <v>299</v>
      </c>
    </row>
    <row r="59" customFormat="false" ht="21" hidden="false" customHeight="true" outlineLevel="0" collapsed="false">
      <c r="A59" s="62" t="s">
        <v>284</v>
      </c>
      <c r="B59" s="63" t="s">
        <v>300</v>
      </c>
      <c r="C59" s="64" t="s">
        <v>296</v>
      </c>
      <c r="D59" s="65" t="n">
        <v>220</v>
      </c>
      <c r="E59" s="66" t="n">
        <v>5</v>
      </c>
      <c r="F59" s="64" t="n">
        <v>35</v>
      </c>
      <c r="G59" s="64" t="n">
        <v>7</v>
      </c>
      <c r="H59" s="64" t="n">
        <v>1</v>
      </c>
      <c r="I59" s="64" t="n">
        <v>18</v>
      </c>
      <c r="J59" s="24" t="s">
        <v>301</v>
      </c>
    </row>
    <row r="60" customFormat="false" ht="21" hidden="false" customHeight="true" outlineLevel="0" collapsed="false">
      <c r="A60" s="67" t="s">
        <v>284</v>
      </c>
      <c r="B60" s="35" t="s">
        <v>302</v>
      </c>
      <c r="C60" s="68" t="s">
        <v>289</v>
      </c>
      <c r="D60" s="69" t="n">
        <v>2</v>
      </c>
      <c r="E60" s="70" t="n">
        <v>0</v>
      </c>
      <c r="F60" s="68" t="n">
        <v>0</v>
      </c>
      <c r="G60" s="68" t="n">
        <v>0</v>
      </c>
      <c r="H60" s="68" t="n">
        <v>0</v>
      </c>
      <c r="I60" s="68" t="n">
        <v>0</v>
      </c>
      <c r="J60" s="71" t="s">
        <v>303</v>
      </c>
    </row>
    <row r="61" customFormat="false" ht="21" hidden="false" customHeight="true" outlineLevel="0" collapsed="false">
      <c r="A61" s="72" t="s">
        <v>304</v>
      </c>
      <c r="B61" s="73" t="s">
        <v>305</v>
      </c>
      <c r="C61" s="74" t="s">
        <v>218</v>
      </c>
      <c r="D61" s="75" t="n">
        <v>380</v>
      </c>
      <c r="E61" s="76" t="n">
        <v>12</v>
      </c>
      <c r="F61" s="74" t="n">
        <v>48</v>
      </c>
      <c r="G61" s="74" t="n">
        <v>15</v>
      </c>
      <c r="H61" s="74" t="n">
        <v>3</v>
      </c>
      <c r="I61" s="74" t="n">
        <v>20</v>
      </c>
      <c r="J61" s="77" t="s">
        <v>306</v>
      </c>
    </row>
    <row r="62" customFormat="false" ht="21" hidden="false" customHeight="true" outlineLevel="0" collapsed="false">
      <c r="A62" s="67" t="s">
        <v>304</v>
      </c>
      <c r="B62" s="35" t="s">
        <v>307</v>
      </c>
      <c r="C62" s="68" t="s">
        <v>308</v>
      </c>
      <c r="D62" s="69" t="n">
        <v>660</v>
      </c>
      <c r="E62" s="70" t="n">
        <v>20</v>
      </c>
      <c r="F62" s="68" t="n">
        <v>85</v>
      </c>
      <c r="G62" s="68" t="n">
        <v>28</v>
      </c>
      <c r="H62" s="68" t="n">
        <v>5</v>
      </c>
      <c r="I62" s="68" t="n">
        <v>35</v>
      </c>
      <c r="J62" s="71" t="s">
        <v>309</v>
      </c>
    </row>
    <row r="63" customFormat="false" ht="21" hidden="false" customHeight="true" outlineLevel="0" collapsed="false">
      <c r="A63" s="62" t="s">
        <v>304</v>
      </c>
      <c r="B63" s="63" t="s">
        <v>310</v>
      </c>
      <c r="C63" s="64" t="s">
        <v>308</v>
      </c>
      <c r="D63" s="65" t="n">
        <v>740</v>
      </c>
      <c r="E63" s="66" t="n">
        <v>22</v>
      </c>
      <c r="F63" s="64" t="n">
        <v>80</v>
      </c>
      <c r="G63" s="64" t="n">
        <v>38</v>
      </c>
      <c r="H63" s="64" t="n">
        <v>4</v>
      </c>
      <c r="I63" s="64" t="n">
        <v>38</v>
      </c>
      <c r="J63" s="24" t="s">
        <v>311</v>
      </c>
    </row>
    <row r="64" customFormat="false" ht="21" hidden="false" customHeight="true" outlineLevel="0" collapsed="false">
      <c r="A64" s="67" t="s">
        <v>304</v>
      </c>
      <c r="B64" s="35" t="s">
        <v>312</v>
      </c>
      <c r="C64" s="68" t="s">
        <v>308</v>
      </c>
      <c r="D64" s="69" t="n">
        <v>600</v>
      </c>
      <c r="E64" s="70" t="n">
        <v>30</v>
      </c>
      <c r="F64" s="68" t="n">
        <v>75</v>
      </c>
      <c r="G64" s="68" t="n">
        <v>18</v>
      </c>
      <c r="H64" s="68" t="n">
        <v>3</v>
      </c>
      <c r="I64" s="68" t="n">
        <v>30</v>
      </c>
      <c r="J64" s="71" t="s">
        <v>313</v>
      </c>
    </row>
    <row r="65" customFormat="false" ht="21" hidden="false" customHeight="true" outlineLevel="0" collapsed="false">
      <c r="A65" s="62" t="s">
        <v>304</v>
      </c>
      <c r="B65" s="63" t="s">
        <v>314</v>
      </c>
      <c r="C65" s="64" t="s">
        <v>315</v>
      </c>
      <c r="D65" s="65" t="n">
        <v>400</v>
      </c>
      <c r="E65" s="66" t="n">
        <v>15</v>
      </c>
      <c r="F65" s="64" t="n">
        <v>55</v>
      </c>
      <c r="G65" s="64" t="n">
        <v>12</v>
      </c>
      <c r="H65" s="64" t="n">
        <v>3</v>
      </c>
      <c r="I65" s="64" t="n">
        <v>20</v>
      </c>
      <c r="J65" s="24" t="s">
        <v>316</v>
      </c>
    </row>
    <row r="66" customFormat="false" ht="21" hidden="false" customHeight="true" outlineLevel="0" collapsed="false">
      <c r="A66" s="67" t="s">
        <v>304</v>
      </c>
      <c r="B66" s="35" t="s">
        <v>317</v>
      </c>
      <c r="C66" s="68" t="s">
        <v>308</v>
      </c>
      <c r="D66" s="69" t="n">
        <v>590</v>
      </c>
      <c r="E66" s="70" t="n">
        <v>15</v>
      </c>
      <c r="F66" s="68" t="n">
        <v>70</v>
      </c>
      <c r="G66" s="68" t="n">
        <v>28</v>
      </c>
      <c r="H66" s="68" t="n">
        <v>4</v>
      </c>
      <c r="I66" s="68" t="n">
        <v>30</v>
      </c>
      <c r="J66" s="71" t="s">
        <v>318</v>
      </c>
    </row>
    <row r="67" customFormat="false" ht="21" hidden="false" customHeight="true" outlineLevel="0" collapsed="false">
      <c r="A67" s="62" t="s">
        <v>304</v>
      </c>
      <c r="B67" s="63" t="s">
        <v>319</v>
      </c>
      <c r="C67" s="64" t="s">
        <v>315</v>
      </c>
      <c r="D67" s="65" t="n">
        <v>180</v>
      </c>
      <c r="E67" s="66" t="n">
        <v>18</v>
      </c>
      <c r="F67" s="64" t="n">
        <v>12</v>
      </c>
      <c r="G67" s="64" t="n">
        <v>6</v>
      </c>
      <c r="H67" s="64" t="n">
        <v>2</v>
      </c>
      <c r="I67" s="64" t="n">
        <v>5</v>
      </c>
      <c r="J67" s="24" t="s">
        <v>320</v>
      </c>
    </row>
    <row r="68" customFormat="false" ht="21" hidden="false" customHeight="true" outlineLevel="0" collapsed="false">
      <c r="A68" s="67" t="s">
        <v>304</v>
      </c>
      <c r="B68" s="35" t="s">
        <v>321</v>
      </c>
      <c r="C68" s="68" t="s">
        <v>218</v>
      </c>
      <c r="D68" s="69" t="n">
        <v>250</v>
      </c>
      <c r="E68" s="70" t="n">
        <v>6</v>
      </c>
      <c r="F68" s="68" t="n">
        <v>45</v>
      </c>
      <c r="G68" s="68" t="n">
        <v>5</v>
      </c>
      <c r="H68" s="68" t="n">
        <v>4</v>
      </c>
      <c r="I68" s="68" t="n">
        <v>18</v>
      </c>
      <c r="J68" s="71" t="s">
        <v>322</v>
      </c>
    </row>
    <row r="69" customFormat="false" ht="21" hidden="false" customHeight="true" outlineLevel="0" collapsed="false">
      <c r="A69" s="72" t="s">
        <v>323</v>
      </c>
      <c r="B69" s="73" t="s">
        <v>324</v>
      </c>
      <c r="C69" s="74" t="s">
        <v>325</v>
      </c>
      <c r="D69" s="75" t="n">
        <v>110</v>
      </c>
      <c r="E69" s="76" t="n">
        <v>1.5</v>
      </c>
      <c r="F69" s="74" t="n">
        <v>10</v>
      </c>
      <c r="G69" s="74" t="n">
        <v>8</v>
      </c>
      <c r="H69" s="74" t="n">
        <v>2</v>
      </c>
      <c r="I69" s="74" t="n">
        <v>4</v>
      </c>
      <c r="J69" s="77" t="s">
        <v>326</v>
      </c>
    </row>
    <row r="70" customFormat="false" ht="21" hidden="false" customHeight="true" outlineLevel="0" collapsed="false">
      <c r="A70" s="67" t="s">
        <v>323</v>
      </c>
      <c r="B70" s="35" t="s">
        <v>327</v>
      </c>
      <c r="C70" s="68" t="s">
        <v>328</v>
      </c>
      <c r="D70" s="69" t="n">
        <v>140</v>
      </c>
      <c r="E70" s="70" t="n">
        <v>2.5</v>
      </c>
      <c r="F70" s="68" t="n">
        <v>18</v>
      </c>
      <c r="G70" s="68" t="n">
        <v>7</v>
      </c>
      <c r="H70" s="68" t="n">
        <v>0</v>
      </c>
      <c r="I70" s="68" t="n">
        <v>8</v>
      </c>
      <c r="J70" s="71" t="s">
        <v>329</v>
      </c>
    </row>
    <row r="71" customFormat="false" ht="21" hidden="false" customHeight="true" outlineLevel="0" collapsed="false">
      <c r="A71" s="62" t="s">
        <v>323</v>
      </c>
      <c r="B71" s="63" t="s">
        <v>330</v>
      </c>
      <c r="C71" s="64" t="s">
        <v>331</v>
      </c>
      <c r="D71" s="65" t="n">
        <v>250</v>
      </c>
      <c r="E71" s="66" t="n">
        <v>3</v>
      </c>
      <c r="F71" s="64" t="n">
        <v>40</v>
      </c>
      <c r="G71" s="64" t="n">
        <v>9</v>
      </c>
      <c r="H71" s="64" t="n">
        <v>2</v>
      </c>
      <c r="I71" s="64" t="n">
        <v>18</v>
      </c>
      <c r="J71" s="24" t="s">
        <v>332</v>
      </c>
    </row>
    <row r="72" customFormat="false" ht="21" hidden="false" customHeight="true" outlineLevel="0" collapsed="false">
      <c r="A72" s="67" t="s">
        <v>323</v>
      </c>
      <c r="B72" s="35" t="s">
        <v>333</v>
      </c>
      <c r="C72" s="68" t="s">
        <v>315</v>
      </c>
      <c r="D72" s="69" t="n">
        <v>200</v>
      </c>
      <c r="E72" s="70" t="n">
        <v>4</v>
      </c>
      <c r="F72" s="68" t="n">
        <v>35</v>
      </c>
      <c r="G72" s="68" t="n">
        <v>5</v>
      </c>
      <c r="H72" s="68" t="n">
        <v>1</v>
      </c>
      <c r="I72" s="68" t="n">
        <v>15</v>
      </c>
      <c r="J72" s="71" t="s">
        <v>334</v>
      </c>
    </row>
    <row r="73" customFormat="false" ht="22.5" hidden="false" customHeight="true" outlineLevel="0" collapsed="false">
      <c r="A73" s="3"/>
      <c r="B73" s="3"/>
      <c r="C73" s="52"/>
      <c r="D73" s="52"/>
      <c r="E73" s="52"/>
      <c r="F73" s="52"/>
      <c r="G73" s="52"/>
      <c r="H73" s="52"/>
      <c r="I73" s="52"/>
      <c r="J73" s="3"/>
    </row>
    <row r="74" customFormat="false" ht="22.5" hidden="false" customHeight="true" outlineLevel="0" collapsed="false">
      <c r="A74" s="3"/>
      <c r="B74" s="3"/>
      <c r="C74" s="52"/>
      <c r="D74" s="52"/>
      <c r="E74" s="52"/>
      <c r="F74" s="52"/>
      <c r="G74" s="52"/>
      <c r="H74" s="52"/>
      <c r="I74" s="52"/>
      <c r="J74" s="3"/>
    </row>
    <row r="75" customFormat="false" ht="22.5" hidden="false" customHeight="true" outlineLevel="0" collapsed="false">
      <c r="A75" s="3"/>
      <c r="B75" s="3"/>
      <c r="C75" s="52"/>
      <c r="D75" s="52"/>
      <c r="E75" s="52"/>
      <c r="F75" s="52"/>
      <c r="G75" s="52"/>
      <c r="H75" s="52"/>
      <c r="I75" s="52"/>
      <c r="J75" s="3"/>
    </row>
    <row r="76" customFormat="false" ht="22.5" hidden="false" customHeight="true" outlineLevel="0" collapsed="false">
      <c r="A76" s="3"/>
      <c r="B76" s="3"/>
      <c r="C76" s="52"/>
      <c r="D76" s="52"/>
      <c r="E76" s="52"/>
      <c r="F76" s="52"/>
      <c r="G76" s="52"/>
      <c r="H76" s="52"/>
      <c r="I76" s="52"/>
      <c r="J76" s="3"/>
    </row>
    <row r="77" customFormat="false" ht="22.5" hidden="false" customHeight="true" outlineLevel="0" collapsed="false">
      <c r="A77" s="3"/>
      <c r="B77" s="3"/>
      <c r="C77" s="52"/>
      <c r="D77" s="52"/>
      <c r="E77" s="52"/>
      <c r="F77" s="52"/>
      <c r="G77" s="52"/>
      <c r="H77" s="52"/>
      <c r="I77" s="52"/>
      <c r="J77" s="3"/>
    </row>
    <row r="78" customFormat="false" ht="22.5" hidden="false" customHeight="true" outlineLevel="0" collapsed="false">
      <c r="A78" s="3"/>
      <c r="B78" s="3"/>
      <c r="C78" s="52"/>
      <c r="D78" s="52"/>
      <c r="E78" s="52"/>
      <c r="F78" s="52"/>
      <c r="G78" s="52"/>
      <c r="H78" s="52"/>
      <c r="I78" s="52"/>
      <c r="J78" s="3"/>
    </row>
    <row r="79" customFormat="false" ht="22.5" hidden="false" customHeight="true" outlineLevel="0" collapsed="false">
      <c r="A79" s="3"/>
      <c r="B79" s="3"/>
      <c r="C79" s="52"/>
      <c r="D79" s="52"/>
      <c r="E79" s="52"/>
      <c r="F79" s="52"/>
      <c r="G79" s="52"/>
      <c r="H79" s="52"/>
      <c r="I79" s="52"/>
      <c r="J79" s="3"/>
    </row>
    <row r="80" customFormat="false" ht="22.5" hidden="false" customHeight="true" outlineLevel="0" collapsed="false">
      <c r="A80" s="3"/>
      <c r="B80" s="3"/>
      <c r="C80" s="52"/>
      <c r="D80" s="52"/>
      <c r="E80" s="52"/>
      <c r="F80" s="52"/>
      <c r="G80" s="52"/>
      <c r="H80" s="52"/>
      <c r="I80" s="52"/>
      <c r="J80" s="3"/>
    </row>
    <row r="81" customFormat="false" ht="22.5" hidden="false" customHeight="true" outlineLevel="0" collapsed="false">
      <c r="A81" s="3"/>
      <c r="B81" s="3"/>
      <c r="C81" s="52"/>
      <c r="D81" s="52"/>
      <c r="E81" s="52"/>
      <c r="F81" s="52"/>
      <c r="G81" s="52"/>
      <c r="H81" s="52"/>
      <c r="I81" s="52"/>
      <c r="J81" s="3"/>
    </row>
    <row r="82" customFormat="false" ht="22.5" hidden="false" customHeight="true" outlineLevel="0" collapsed="false">
      <c r="A82" s="3"/>
      <c r="B82" s="3"/>
      <c r="C82" s="52"/>
      <c r="D82" s="52"/>
      <c r="E82" s="52"/>
      <c r="F82" s="52"/>
      <c r="G82" s="52"/>
      <c r="H82" s="52"/>
      <c r="I82" s="52"/>
      <c r="J82" s="3"/>
    </row>
    <row r="83" customFormat="false" ht="22.5" hidden="false" customHeight="true" outlineLevel="0" collapsed="false">
      <c r="A83" s="3"/>
      <c r="B83" s="3"/>
      <c r="C83" s="52"/>
      <c r="D83" s="52"/>
      <c r="E83" s="52"/>
      <c r="F83" s="52"/>
      <c r="G83" s="52"/>
      <c r="H83" s="52"/>
      <c r="I83" s="52"/>
      <c r="J83" s="3"/>
    </row>
    <row r="84" customFormat="false" ht="22.5" hidden="false" customHeight="true" outlineLevel="0" collapsed="false">
      <c r="A84" s="3"/>
      <c r="B84" s="3"/>
      <c r="C84" s="52"/>
      <c r="D84" s="52"/>
      <c r="E84" s="52"/>
      <c r="F84" s="52"/>
      <c r="G84" s="52"/>
      <c r="H84" s="52"/>
      <c r="I84" s="52"/>
      <c r="J84" s="3"/>
    </row>
    <row r="85" customFormat="false" ht="22.5" hidden="false" customHeight="true" outlineLevel="0" collapsed="false">
      <c r="A85" s="3"/>
      <c r="B85" s="3"/>
      <c r="C85" s="52"/>
      <c r="D85" s="52"/>
      <c r="E85" s="52"/>
      <c r="F85" s="52"/>
      <c r="G85" s="52"/>
      <c r="H85" s="52"/>
      <c r="I85" s="52"/>
      <c r="J85" s="3"/>
    </row>
    <row r="86" customFormat="false" ht="22.5" hidden="false" customHeight="true" outlineLevel="0" collapsed="false">
      <c r="A86" s="3"/>
      <c r="B86" s="3"/>
      <c r="C86" s="52"/>
      <c r="D86" s="52"/>
      <c r="E86" s="52"/>
      <c r="F86" s="52"/>
      <c r="G86" s="52"/>
      <c r="H86" s="52"/>
      <c r="I86" s="52"/>
      <c r="J86" s="3"/>
    </row>
    <row r="87" customFormat="false" ht="22.5" hidden="false" customHeight="true" outlineLevel="0" collapsed="false">
      <c r="A87" s="3"/>
      <c r="B87" s="3"/>
      <c r="C87" s="52"/>
      <c r="D87" s="52"/>
      <c r="E87" s="52"/>
      <c r="F87" s="52"/>
      <c r="G87" s="52"/>
      <c r="H87" s="52"/>
      <c r="I87" s="52"/>
      <c r="J87" s="3"/>
    </row>
    <row r="88" customFormat="false" ht="22.5" hidden="false" customHeight="true" outlineLevel="0" collapsed="false">
      <c r="A88" s="3"/>
      <c r="B88" s="3"/>
      <c r="C88" s="52"/>
      <c r="D88" s="52"/>
      <c r="E88" s="52"/>
      <c r="F88" s="52"/>
      <c r="G88" s="52"/>
      <c r="H88" s="52"/>
      <c r="I88" s="52"/>
      <c r="J88" s="3"/>
    </row>
    <row r="89" customFormat="false" ht="22.5" hidden="false" customHeight="true" outlineLevel="0" collapsed="false">
      <c r="A89" s="3"/>
      <c r="B89" s="3"/>
      <c r="C89" s="52"/>
      <c r="D89" s="52"/>
      <c r="E89" s="52"/>
      <c r="F89" s="52"/>
      <c r="G89" s="52"/>
      <c r="H89" s="52"/>
      <c r="I89" s="52"/>
      <c r="J89" s="3"/>
    </row>
    <row r="90" customFormat="false" ht="22.5" hidden="false" customHeight="true" outlineLevel="0" collapsed="false">
      <c r="A90" s="3"/>
      <c r="B90" s="3"/>
      <c r="C90" s="52"/>
      <c r="D90" s="52"/>
      <c r="E90" s="52"/>
      <c r="F90" s="52"/>
      <c r="G90" s="52"/>
      <c r="H90" s="52"/>
      <c r="I90" s="52"/>
      <c r="J90" s="3"/>
    </row>
    <row r="91" customFormat="false" ht="30" hidden="false" customHeight="true" outlineLevel="0" collapsed="false">
      <c r="A91" s="78" t="s">
        <v>335</v>
      </c>
      <c r="B91" s="78"/>
      <c r="C91" s="78"/>
      <c r="D91" s="78"/>
      <c r="E91" s="78"/>
      <c r="F91" s="78"/>
      <c r="G91" s="78"/>
      <c r="H91" s="78"/>
      <c r="I91" s="78"/>
      <c r="J91" s="78"/>
    </row>
  </sheetData>
  <mergeCells count="3">
    <mergeCell ref="A1:J1"/>
    <mergeCell ref="A2:J2"/>
    <mergeCell ref="A91:J9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H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8" min="2" style="1" width="16"/>
  </cols>
  <sheetData>
    <row r="1" customFormat="false" ht="42" hidden="false" customHeight="true" outlineLevel="0" collapsed="false">
      <c r="A1" s="2" t="s">
        <v>336</v>
      </c>
      <c r="B1" s="2"/>
      <c r="C1" s="2"/>
      <c r="D1" s="2"/>
      <c r="E1" s="2"/>
      <c r="F1" s="2"/>
      <c r="G1" s="2"/>
      <c r="H1" s="2"/>
    </row>
    <row r="2" customFormat="false" ht="21.75" hidden="false" customHeight="true" outlineLevel="0" collapsed="false">
      <c r="A2" s="4" t="s">
        <v>337</v>
      </c>
      <c r="B2" s="4"/>
      <c r="C2" s="4"/>
      <c r="D2" s="4"/>
      <c r="E2" s="4"/>
      <c r="F2" s="4"/>
      <c r="G2" s="4"/>
      <c r="H2" s="4"/>
    </row>
    <row r="3" customFormat="false" ht="21.75" hidden="false" customHeight="true" outlineLevel="0" collapsed="false">
      <c r="A3" s="3"/>
      <c r="B3" s="3"/>
      <c r="C3" s="3"/>
      <c r="D3" s="3"/>
      <c r="E3" s="3"/>
      <c r="F3" s="3"/>
      <c r="G3" s="3"/>
      <c r="H3" s="3"/>
    </row>
    <row r="4" customFormat="false" ht="25.5" hidden="false" customHeight="true" outlineLevel="0" collapsed="false">
      <c r="A4" s="79" t="s">
        <v>338</v>
      </c>
      <c r="B4" s="79"/>
      <c r="C4" s="79"/>
      <c r="D4" s="79"/>
      <c r="E4" s="79"/>
      <c r="F4" s="79"/>
      <c r="G4" s="79"/>
      <c r="H4" s="79"/>
    </row>
    <row r="5" customFormat="false" ht="31.5" hidden="false" customHeight="true" outlineLevel="0" collapsed="false">
      <c r="A5" s="80" t="s">
        <v>339</v>
      </c>
      <c r="B5" s="80"/>
      <c r="C5" s="80"/>
      <c r="D5" s="80"/>
      <c r="E5" s="80"/>
      <c r="F5" s="80"/>
      <c r="G5" s="80"/>
      <c r="H5" s="80"/>
    </row>
    <row r="6" customFormat="false" ht="75.75" hidden="false" customHeight="true" outlineLevel="0" collapsed="false">
      <c r="A6" s="81" t="s">
        <v>340</v>
      </c>
      <c r="B6" s="81"/>
      <c r="C6" s="81"/>
      <c r="D6" s="81"/>
      <c r="E6" s="81"/>
      <c r="F6" s="81"/>
      <c r="G6" s="81"/>
      <c r="H6" s="81"/>
    </row>
    <row r="7" customFormat="false" ht="30" hidden="false" customHeight="true" outlineLevel="0" collapsed="false">
      <c r="A7" s="82" t="s">
        <v>341</v>
      </c>
      <c r="B7" s="82"/>
      <c r="C7" s="82"/>
      <c r="D7" s="82"/>
      <c r="E7" s="82"/>
      <c r="F7" s="82"/>
      <c r="G7" s="82"/>
      <c r="H7" s="82"/>
    </row>
    <row r="8" customFormat="false" ht="21.75" hidden="false" customHeight="true" outlineLevel="0" collapsed="false">
      <c r="A8" s="3"/>
      <c r="B8" s="3"/>
      <c r="C8" s="3"/>
      <c r="D8" s="3"/>
      <c r="E8" s="3"/>
      <c r="F8" s="3"/>
      <c r="G8" s="3"/>
      <c r="H8" s="3"/>
    </row>
    <row r="9" customFormat="false" ht="25.5" hidden="false" customHeight="true" outlineLevel="0" collapsed="false">
      <c r="A9" s="79" t="s">
        <v>342</v>
      </c>
      <c r="B9" s="79"/>
      <c r="C9" s="79"/>
      <c r="D9" s="79"/>
      <c r="E9" s="79"/>
      <c r="F9" s="79"/>
      <c r="G9" s="79"/>
      <c r="H9" s="79"/>
    </row>
    <row r="10" customFormat="false" ht="31.5" hidden="false" customHeight="true" outlineLevel="0" collapsed="false">
      <c r="A10" s="80" t="s">
        <v>343</v>
      </c>
      <c r="B10" s="80"/>
      <c r="C10" s="80"/>
      <c r="D10" s="80"/>
      <c r="E10" s="80"/>
      <c r="F10" s="80"/>
      <c r="G10" s="80"/>
      <c r="H10" s="80"/>
    </row>
    <row r="11" customFormat="false" ht="75.75" hidden="false" customHeight="true" outlineLevel="0" collapsed="false">
      <c r="A11" s="81" t="s">
        <v>344</v>
      </c>
      <c r="B11" s="81"/>
      <c r="C11" s="81"/>
      <c r="D11" s="81"/>
      <c r="E11" s="81"/>
      <c r="F11" s="81"/>
      <c r="G11" s="81"/>
      <c r="H11" s="81"/>
    </row>
    <row r="12" customFormat="false" ht="30" hidden="false" customHeight="true" outlineLevel="0" collapsed="false">
      <c r="A12" s="82" t="s">
        <v>345</v>
      </c>
      <c r="B12" s="82"/>
      <c r="C12" s="82"/>
      <c r="D12" s="82"/>
      <c r="E12" s="82"/>
      <c r="F12" s="82"/>
      <c r="G12" s="82"/>
      <c r="H12" s="82"/>
    </row>
    <row r="13" customFormat="false" ht="21.75" hidden="false" customHeight="true" outlineLevel="0" collapsed="false">
      <c r="A13" s="3"/>
      <c r="B13" s="3"/>
      <c r="C13" s="3"/>
      <c r="D13" s="3"/>
      <c r="E13" s="3"/>
      <c r="F13" s="3"/>
      <c r="G13" s="3"/>
      <c r="H13" s="3"/>
    </row>
    <row r="14" customFormat="false" ht="25.5" hidden="false" customHeight="true" outlineLevel="0" collapsed="false">
      <c r="A14" s="79" t="s">
        <v>346</v>
      </c>
      <c r="B14" s="79"/>
      <c r="C14" s="79"/>
      <c r="D14" s="79"/>
      <c r="E14" s="79"/>
      <c r="F14" s="79"/>
      <c r="G14" s="79"/>
      <c r="H14" s="79"/>
    </row>
    <row r="15" customFormat="false" ht="31.5" hidden="false" customHeight="true" outlineLevel="0" collapsed="false">
      <c r="A15" s="80" t="s">
        <v>347</v>
      </c>
      <c r="B15" s="80"/>
      <c r="C15" s="80"/>
      <c r="D15" s="80"/>
      <c r="E15" s="80"/>
      <c r="F15" s="80"/>
      <c r="G15" s="80"/>
      <c r="H15" s="80"/>
    </row>
    <row r="16" customFormat="false" ht="75.75" hidden="false" customHeight="true" outlineLevel="0" collapsed="false">
      <c r="A16" s="81" t="s">
        <v>348</v>
      </c>
      <c r="B16" s="81"/>
      <c r="C16" s="81"/>
      <c r="D16" s="81"/>
      <c r="E16" s="81"/>
      <c r="F16" s="81"/>
      <c r="G16" s="81"/>
      <c r="H16" s="81"/>
    </row>
    <row r="17" customFormat="false" ht="30" hidden="false" customHeight="true" outlineLevel="0" collapsed="false">
      <c r="A17" s="82" t="s">
        <v>349</v>
      </c>
      <c r="B17" s="82"/>
      <c r="C17" s="82"/>
      <c r="D17" s="82"/>
      <c r="E17" s="82"/>
      <c r="F17" s="82"/>
      <c r="G17" s="82"/>
      <c r="H17" s="82"/>
    </row>
    <row r="18" customFormat="false" ht="21.75" hidden="false" customHeight="true" outlineLevel="0" collapsed="false">
      <c r="A18" s="3"/>
      <c r="B18" s="3"/>
      <c r="C18" s="3"/>
      <c r="D18" s="3"/>
      <c r="E18" s="3"/>
      <c r="F18" s="3"/>
      <c r="G18" s="3"/>
      <c r="H18" s="3"/>
    </row>
    <row r="19" customFormat="false" ht="25.5" hidden="false" customHeight="true" outlineLevel="0" collapsed="false">
      <c r="A19" s="79" t="s">
        <v>350</v>
      </c>
      <c r="B19" s="79"/>
      <c r="C19" s="79"/>
      <c r="D19" s="79"/>
      <c r="E19" s="79"/>
      <c r="F19" s="79"/>
      <c r="G19" s="79"/>
      <c r="H19" s="79"/>
    </row>
    <row r="20" customFormat="false" ht="31.5" hidden="false" customHeight="true" outlineLevel="0" collapsed="false">
      <c r="A20" s="80" t="s">
        <v>351</v>
      </c>
      <c r="B20" s="80"/>
      <c r="C20" s="80"/>
      <c r="D20" s="80"/>
      <c r="E20" s="80"/>
      <c r="F20" s="80"/>
      <c r="G20" s="80"/>
      <c r="H20" s="80"/>
    </row>
    <row r="21" customFormat="false" ht="75.75" hidden="false" customHeight="true" outlineLevel="0" collapsed="false">
      <c r="A21" s="81" t="s">
        <v>352</v>
      </c>
      <c r="B21" s="81"/>
      <c r="C21" s="81"/>
      <c r="D21" s="81"/>
      <c r="E21" s="81"/>
      <c r="F21" s="81"/>
      <c r="G21" s="81"/>
      <c r="H21" s="81"/>
    </row>
    <row r="22" customFormat="false" ht="30" hidden="false" customHeight="true" outlineLevel="0" collapsed="false">
      <c r="A22" s="82" t="s">
        <v>353</v>
      </c>
      <c r="B22" s="82"/>
      <c r="C22" s="82"/>
      <c r="D22" s="82"/>
      <c r="E22" s="82"/>
      <c r="F22" s="82"/>
      <c r="G22" s="82"/>
      <c r="H22" s="82"/>
    </row>
    <row r="23" customFormat="false" ht="21.75" hidden="false" customHeight="true" outlineLevel="0" collapsed="false">
      <c r="A23" s="3"/>
      <c r="B23" s="3"/>
      <c r="C23" s="3"/>
      <c r="D23" s="3"/>
      <c r="E23" s="3"/>
      <c r="F23" s="3"/>
      <c r="G23" s="3"/>
      <c r="H23" s="3"/>
    </row>
    <row r="24" customFormat="false" ht="25.5" hidden="false" customHeight="true" outlineLevel="0" collapsed="false">
      <c r="A24" s="79" t="s">
        <v>354</v>
      </c>
      <c r="B24" s="79"/>
      <c r="C24" s="79"/>
      <c r="D24" s="79"/>
      <c r="E24" s="79"/>
      <c r="F24" s="79"/>
      <c r="G24" s="79"/>
      <c r="H24" s="79"/>
    </row>
    <row r="25" customFormat="false" ht="31.5" hidden="false" customHeight="true" outlineLevel="0" collapsed="false">
      <c r="A25" s="80" t="s">
        <v>355</v>
      </c>
      <c r="B25" s="80"/>
      <c r="C25" s="80"/>
      <c r="D25" s="80"/>
      <c r="E25" s="80"/>
      <c r="F25" s="80"/>
      <c r="G25" s="80"/>
      <c r="H25" s="80"/>
    </row>
    <row r="26" customFormat="false" ht="75.75" hidden="false" customHeight="true" outlineLevel="0" collapsed="false">
      <c r="A26" s="81" t="s">
        <v>356</v>
      </c>
      <c r="B26" s="81"/>
      <c r="C26" s="81"/>
      <c r="D26" s="81"/>
      <c r="E26" s="81"/>
      <c r="F26" s="81"/>
      <c r="G26" s="81"/>
      <c r="H26" s="81"/>
    </row>
    <row r="27" customFormat="false" ht="30" hidden="false" customHeight="true" outlineLevel="0" collapsed="false">
      <c r="A27" s="82" t="s">
        <v>357</v>
      </c>
      <c r="B27" s="82"/>
      <c r="C27" s="82"/>
      <c r="D27" s="82"/>
      <c r="E27" s="82"/>
      <c r="F27" s="82"/>
      <c r="G27" s="82"/>
      <c r="H27" s="82"/>
    </row>
    <row r="28" customFormat="false" ht="21.75" hidden="false" customHeight="true" outlineLevel="0" collapsed="false">
      <c r="A28" s="3"/>
      <c r="B28" s="3"/>
      <c r="C28" s="3"/>
      <c r="D28" s="3"/>
      <c r="E28" s="3"/>
      <c r="F28" s="3"/>
      <c r="G28" s="3"/>
      <c r="H28" s="3"/>
    </row>
    <row r="29" customFormat="false" ht="25.5" hidden="false" customHeight="true" outlineLevel="0" collapsed="false">
      <c r="A29" s="79" t="s">
        <v>358</v>
      </c>
      <c r="B29" s="79"/>
      <c r="C29" s="79"/>
      <c r="D29" s="79"/>
      <c r="E29" s="79"/>
      <c r="F29" s="79"/>
      <c r="G29" s="79"/>
      <c r="H29" s="79"/>
    </row>
    <row r="30" customFormat="false" ht="31.5" hidden="false" customHeight="true" outlineLevel="0" collapsed="false">
      <c r="A30" s="80" t="s">
        <v>359</v>
      </c>
      <c r="B30" s="80"/>
      <c r="C30" s="80"/>
      <c r="D30" s="80"/>
      <c r="E30" s="80"/>
      <c r="F30" s="80"/>
      <c r="G30" s="80"/>
      <c r="H30" s="80"/>
    </row>
    <row r="31" customFormat="false" ht="75.75" hidden="false" customHeight="true" outlineLevel="0" collapsed="false">
      <c r="A31" s="81" t="s">
        <v>360</v>
      </c>
      <c r="B31" s="81"/>
      <c r="C31" s="81"/>
      <c r="D31" s="81"/>
      <c r="E31" s="81"/>
      <c r="F31" s="81"/>
      <c r="G31" s="81"/>
      <c r="H31" s="81"/>
    </row>
    <row r="32" customFormat="false" ht="30" hidden="false" customHeight="true" outlineLevel="0" collapsed="false">
      <c r="A32" s="82" t="s">
        <v>361</v>
      </c>
      <c r="B32" s="82"/>
      <c r="C32" s="82"/>
      <c r="D32" s="82"/>
      <c r="E32" s="82"/>
      <c r="F32" s="82"/>
      <c r="G32" s="82"/>
      <c r="H32" s="82"/>
    </row>
    <row r="33" customFormat="false" ht="21.75" hidden="false" customHeight="true" outlineLevel="0" collapsed="false">
      <c r="A33" s="3"/>
      <c r="B33" s="3"/>
      <c r="C33" s="3"/>
      <c r="D33" s="3"/>
      <c r="E33" s="3"/>
      <c r="F33" s="3"/>
      <c r="G33" s="3"/>
      <c r="H33" s="3"/>
    </row>
    <row r="34" customFormat="false" ht="25.5" hidden="false" customHeight="true" outlineLevel="0" collapsed="false">
      <c r="A34" s="79" t="s">
        <v>362</v>
      </c>
      <c r="B34" s="79"/>
      <c r="C34" s="79"/>
      <c r="D34" s="79"/>
      <c r="E34" s="79"/>
      <c r="F34" s="79"/>
      <c r="G34" s="79"/>
      <c r="H34" s="79"/>
    </row>
    <row r="35" customFormat="false" ht="31.5" hidden="false" customHeight="true" outlineLevel="0" collapsed="false">
      <c r="A35" s="80" t="s">
        <v>363</v>
      </c>
      <c r="B35" s="80"/>
      <c r="C35" s="80"/>
      <c r="D35" s="80"/>
      <c r="E35" s="80"/>
      <c r="F35" s="80"/>
      <c r="G35" s="80"/>
      <c r="H35" s="80"/>
    </row>
    <row r="36" customFormat="false" ht="75.75" hidden="false" customHeight="true" outlineLevel="0" collapsed="false">
      <c r="A36" s="81" t="s">
        <v>364</v>
      </c>
      <c r="B36" s="81"/>
      <c r="C36" s="81"/>
      <c r="D36" s="81"/>
      <c r="E36" s="81"/>
      <c r="F36" s="81"/>
      <c r="G36" s="81"/>
      <c r="H36" s="81"/>
    </row>
    <row r="37" customFormat="false" ht="30" hidden="false" customHeight="true" outlineLevel="0" collapsed="false">
      <c r="A37" s="82" t="s">
        <v>365</v>
      </c>
      <c r="B37" s="82"/>
      <c r="C37" s="82"/>
      <c r="D37" s="82"/>
      <c r="E37" s="82"/>
      <c r="F37" s="82"/>
      <c r="G37" s="82"/>
      <c r="H37" s="82"/>
    </row>
    <row r="38" customFormat="false" ht="21.75" hidden="false" customHeight="true" outlineLevel="0" collapsed="false">
      <c r="A38" s="3"/>
      <c r="B38" s="3"/>
      <c r="C38" s="3"/>
      <c r="D38" s="3"/>
      <c r="E38" s="3"/>
      <c r="F38" s="3"/>
      <c r="G38" s="3"/>
      <c r="H38" s="3"/>
    </row>
    <row r="39" customFormat="false" ht="25.5" hidden="false" customHeight="true" outlineLevel="0" collapsed="false">
      <c r="A39" s="5" t="s">
        <v>366</v>
      </c>
      <c r="B39" s="5"/>
      <c r="C39" s="5"/>
      <c r="D39" s="5"/>
      <c r="E39" s="5"/>
      <c r="F39" s="5"/>
      <c r="G39" s="5"/>
      <c r="H39" s="5"/>
    </row>
    <row r="40" customFormat="false" ht="27.75" hidden="false" customHeight="true" outlineLevel="0" collapsed="false">
      <c r="A40" s="83" t="s">
        <v>367</v>
      </c>
      <c r="B40" s="83"/>
      <c r="C40" s="83"/>
      <c r="D40" s="83"/>
      <c r="E40" s="83"/>
      <c r="F40" s="83"/>
      <c r="G40" s="83"/>
      <c r="H40" s="83"/>
    </row>
    <row r="41" customFormat="false" ht="27.75" hidden="false" customHeight="true" outlineLevel="0" collapsed="false">
      <c r="A41" s="83" t="s">
        <v>368</v>
      </c>
      <c r="B41" s="83"/>
      <c r="C41" s="83"/>
      <c r="D41" s="83"/>
      <c r="E41" s="83"/>
      <c r="F41" s="83"/>
      <c r="G41" s="83"/>
      <c r="H41" s="83"/>
    </row>
    <row r="42" customFormat="false" ht="27.75" hidden="false" customHeight="true" outlineLevel="0" collapsed="false">
      <c r="A42" s="83" t="s">
        <v>369</v>
      </c>
      <c r="B42" s="83"/>
      <c r="C42" s="83"/>
      <c r="D42" s="83"/>
      <c r="E42" s="83"/>
      <c r="F42" s="83"/>
      <c r="G42" s="83"/>
      <c r="H42" s="83"/>
    </row>
    <row r="43" customFormat="false" ht="27.75" hidden="false" customHeight="true" outlineLevel="0" collapsed="false">
      <c r="A43" s="83" t="s">
        <v>370</v>
      </c>
      <c r="B43" s="83"/>
      <c r="C43" s="83"/>
      <c r="D43" s="83"/>
      <c r="E43" s="83"/>
      <c r="F43" s="83"/>
      <c r="G43" s="83"/>
      <c r="H43" s="83"/>
    </row>
    <row r="44" customFormat="false" ht="27.75" hidden="false" customHeight="true" outlineLevel="0" collapsed="false">
      <c r="A44" s="83" t="s">
        <v>371</v>
      </c>
      <c r="B44" s="83"/>
      <c r="C44" s="83"/>
      <c r="D44" s="83"/>
      <c r="E44" s="83"/>
      <c r="F44" s="83"/>
      <c r="G44" s="83"/>
      <c r="H44" s="83"/>
    </row>
    <row r="45" customFormat="false" ht="27.75" hidden="false" customHeight="true" outlineLevel="0" collapsed="false">
      <c r="A45" s="83" t="s">
        <v>372</v>
      </c>
      <c r="B45" s="83"/>
      <c r="C45" s="83"/>
      <c r="D45" s="83"/>
      <c r="E45" s="83"/>
      <c r="F45" s="83"/>
      <c r="G45" s="83"/>
      <c r="H45" s="83"/>
    </row>
  </sheetData>
  <mergeCells count="37">
    <mergeCell ref="A1:H1"/>
    <mergeCell ref="A2:H2"/>
    <mergeCell ref="A4:H4"/>
    <mergeCell ref="A5:H5"/>
    <mergeCell ref="A6:H6"/>
    <mergeCell ref="A7:H7"/>
    <mergeCell ref="A9:H9"/>
    <mergeCell ref="A10:H10"/>
    <mergeCell ref="A11:H11"/>
    <mergeCell ref="A12:H12"/>
    <mergeCell ref="A14:H14"/>
    <mergeCell ref="A15:H15"/>
    <mergeCell ref="A16:H16"/>
    <mergeCell ref="A17:H17"/>
    <mergeCell ref="A19:H19"/>
    <mergeCell ref="A20:H20"/>
    <mergeCell ref="A21:H21"/>
    <mergeCell ref="A22:H22"/>
    <mergeCell ref="A24:H24"/>
    <mergeCell ref="A25:H25"/>
    <mergeCell ref="A26:H26"/>
    <mergeCell ref="A27:H27"/>
    <mergeCell ref="A29:H29"/>
    <mergeCell ref="A30:H30"/>
    <mergeCell ref="A31:H31"/>
    <mergeCell ref="A32:H32"/>
    <mergeCell ref="A34:H34"/>
    <mergeCell ref="A35:H35"/>
    <mergeCell ref="A36:H36"/>
    <mergeCell ref="A37:H37"/>
    <mergeCell ref="A39:H39"/>
    <mergeCell ref="A40:H40"/>
    <mergeCell ref="A41:H41"/>
    <mergeCell ref="A42:H42"/>
    <mergeCell ref="A43:H43"/>
    <mergeCell ref="A44:H44"/>
    <mergeCell ref="A45:H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J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6" min="2" style="1" width="13"/>
    <col collapsed="false" customWidth="true" hidden="false" outlineLevel="0" max="8" min="7" style="1" width="42"/>
    <col collapsed="false" customWidth="true" hidden="false" outlineLevel="0" max="10" min="9" style="1" width="13"/>
  </cols>
  <sheetData>
    <row r="1" customFormat="false" ht="42" hidden="false" customHeight="true" outlineLevel="0" collapsed="false">
      <c r="A1" s="2" t="s">
        <v>373</v>
      </c>
      <c r="B1" s="2"/>
      <c r="C1" s="2"/>
      <c r="D1" s="2"/>
      <c r="E1" s="2"/>
      <c r="F1" s="2"/>
      <c r="G1" s="2"/>
      <c r="H1" s="2"/>
      <c r="I1" s="2"/>
      <c r="J1" s="2"/>
    </row>
    <row r="2" customFormat="false" ht="21.75" hidden="false" customHeight="true" outlineLevel="0" collapsed="false">
      <c r="A2" s="4" t="s">
        <v>374</v>
      </c>
      <c r="B2" s="4"/>
      <c r="C2" s="4"/>
      <c r="D2" s="4"/>
      <c r="E2" s="4"/>
      <c r="F2" s="4"/>
      <c r="G2" s="4"/>
      <c r="H2" s="4"/>
      <c r="I2" s="4"/>
      <c r="J2" s="4"/>
    </row>
    <row r="3" customFormat="false" ht="21.75" hidden="false" customHeight="true" outlineLevel="0" collapsed="false">
      <c r="A3" s="3"/>
      <c r="B3" s="3"/>
      <c r="C3" s="3"/>
      <c r="D3" s="3"/>
      <c r="E3" s="3"/>
      <c r="F3" s="3"/>
      <c r="G3" s="3"/>
      <c r="H3" s="3"/>
      <c r="I3" s="3"/>
      <c r="J3" s="3"/>
    </row>
    <row r="4" customFormat="false" ht="25.5" hidden="false" customHeight="true" outlineLevel="0" collapsed="false">
      <c r="A4" s="5" t="s">
        <v>375</v>
      </c>
      <c r="B4" s="5"/>
      <c r="C4" s="5"/>
      <c r="D4" s="5"/>
      <c r="E4" s="5"/>
      <c r="F4" s="5"/>
      <c r="G4" s="3"/>
      <c r="H4" s="5" t="s">
        <v>376</v>
      </c>
      <c r="I4" s="5"/>
      <c r="J4" s="5"/>
    </row>
    <row r="5" customFormat="false" ht="25.5" hidden="false" customHeight="true" outlineLevel="0" collapsed="false">
      <c r="A5" s="6" t="s">
        <v>6</v>
      </c>
      <c r="B5" s="6" t="s">
        <v>377</v>
      </c>
      <c r="C5" s="6" t="s">
        <v>10</v>
      </c>
      <c r="D5" s="6" t="s">
        <v>378</v>
      </c>
      <c r="E5" s="6" t="s">
        <v>379</v>
      </c>
      <c r="F5" s="6" t="s">
        <v>380</v>
      </c>
      <c r="G5" s="3"/>
      <c r="H5" s="6" t="s">
        <v>6</v>
      </c>
      <c r="I5" s="6" t="s">
        <v>381</v>
      </c>
      <c r="J5" s="6" t="s">
        <v>382</v>
      </c>
    </row>
    <row r="6" customFormat="false" ht="21.75" hidden="false" customHeight="true" outlineLevel="0" collapsed="false">
      <c r="A6" s="9" t="s">
        <v>14</v>
      </c>
      <c r="B6" s="84"/>
      <c r="C6" s="85"/>
      <c r="D6" s="86"/>
      <c r="E6" s="87" t="str">
        <f aca="false">"—"</f>
        <v>—</v>
      </c>
      <c r="F6" s="87" t="str">
        <f aca="false">"—"</f>
        <v>—</v>
      </c>
      <c r="G6" s="3"/>
      <c r="H6" s="9" t="s">
        <v>383</v>
      </c>
      <c r="I6" s="16"/>
      <c r="J6" s="16"/>
    </row>
    <row r="7" customFormat="false" ht="21.75" hidden="false" customHeight="true" outlineLevel="0" collapsed="false">
      <c r="A7" s="9" t="s">
        <v>17</v>
      </c>
      <c r="B7" s="84"/>
      <c r="C7" s="85"/>
      <c r="D7" s="86"/>
      <c r="E7" s="88" t="str">
        <f aca="false">IF(OR(C7="",C6=""),"",ROUND(C7-C6,1))</f>
        <v/>
      </c>
      <c r="F7" s="89" t="str">
        <f aca="false">IF(OR(C7="",C6=""),"",(C7-C6)/C6)</f>
        <v/>
      </c>
      <c r="G7" s="3"/>
      <c r="H7" s="9" t="s">
        <v>384</v>
      </c>
      <c r="I7" s="16"/>
      <c r="J7" s="16"/>
    </row>
    <row r="8" customFormat="false" ht="21.75" hidden="false" customHeight="true" outlineLevel="0" collapsed="false">
      <c r="A8" s="9" t="s">
        <v>21</v>
      </c>
      <c r="B8" s="84"/>
      <c r="C8" s="85"/>
      <c r="D8" s="86"/>
      <c r="E8" s="88" t="str">
        <f aca="false">IF(OR(C8="",C7=""),"",ROUND(C8-C7,1))</f>
        <v/>
      </c>
      <c r="F8" s="89" t="str">
        <f aca="false">IF(OR(C8="",C7=""),"",(C8-C7)/C7)</f>
        <v/>
      </c>
      <c r="G8" s="3"/>
      <c r="H8" s="9" t="s">
        <v>385</v>
      </c>
      <c r="I8" s="16"/>
      <c r="J8" s="16"/>
    </row>
    <row r="9" customFormat="false" ht="21.75" hidden="false" customHeight="true" outlineLevel="0" collapsed="false">
      <c r="A9" s="9" t="s">
        <v>24</v>
      </c>
      <c r="B9" s="84"/>
      <c r="C9" s="85"/>
      <c r="D9" s="86"/>
      <c r="E9" s="88" t="str">
        <f aca="false">IF(OR(C9="",C8=""),"",ROUND(C9-C8,1))</f>
        <v/>
      </c>
      <c r="F9" s="89" t="str">
        <f aca="false">IF(OR(C9="",C8=""),"",(C9-C8)/C8)</f>
        <v/>
      </c>
      <c r="G9" s="3"/>
      <c r="H9" s="9" t="s">
        <v>386</v>
      </c>
      <c r="I9" s="16"/>
      <c r="J9" s="16"/>
    </row>
    <row r="10" customFormat="false" ht="21.75" hidden="false" customHeight="true" outlineLevel="0" collapsed="false">
      <c r="A10" s="9" t="s">
        <v>27</v>
      </c>
      <c r="B10" s="84"/>
      <c r="C10" s="85"/>
      <c r="D10" s="86"/>
      <c r="E10" s="88" t="str">
        <f aca="false">IF(OR(C10="",C9=""),"",ROUND(C10-C9,1))</f>
        <v/>
      </c>
      <c r="F10" s="89" t="str">
        <f aca="false">IF(OR(C10="",C9=""),"",(C10-C9)/C9)</f>
        <v/>
      </c>
      <c r="G10" s="3"/>
      <c r="H10" s="9" t="s">
        <v>387</v>
      </c>
      <c r="I10" s="16"/>
      <c r="J10" s="16"/>
    </row>
    <row r="11" customFormat="false" ht="21.75" hidden="false" customHeight="true" outlineLevel="0" collapsed="false">
      <c r="A11" s="9" t="s">
        <v>30</v>
      </c>
      <c r="B11" s="84"/>
      <c r="C11" s="85"/>
      <c r="D11" s="86"/>
      <c r="E11" s="88" t="str">
        <f aca="false">IF(OR(C11="",C10=""),"",ROUND(C11-C10,1))</f>
        <v/>
      </c>
      <c r="F11" s="89" t="str">
        <f aca="false">IF(OR(C11="",C10=""),"",(C11-C10)/C10)</f>
        <v/>
      </c>
      <c r="G11" s="3"/>
      <c r="H11" s="9" t="s">
        <v>388</v>
      </c>
      <c r="I11" s="16"/>
      <c r="J11" s="16"/>
    </row>
    <row r="12" customFormat="false" ht="21.75" hidden="false" customHeight="true" outlineLevel="0" collapsed="false">
      <c r="A12" s="9" t="s">
        <v>31</v>
      </c>
      <c r="B12" s="84"/>
      <c r="C12" s="85"/>
      <c r="D12" s="86"/>
      <c r="E12" s="88" t="str">
        <f aca="false">IF(OR(C12="",C11=""),"",ROUND(C12-C11,1))</f>
        <v/>
      </c>
      <c r="F12" s="89" t="str">
        <f aca="false">IF(OR(C12="",C11=""),"",(C12-C11)/C11)</f>
        <v/>
      </c>
      <c r="G12" s="3"/>
      <c r="H12" s="9" t="s">
        <v>389</v>
      </c>
      <c r="I12" s="16"/>
      <c r="J12" s="16"/>
    </row>
    <row r="13" customFormat="false" ht="21.75" hidden="false" customHeight="true" outlineLevel="0" collapsed="false">
      <c r="A13" s="9" t="s">
        <v>33</v>
      </c>
      <c r="B13" s="84"/>
      <c r="C13" s="85"/>
      <c r="D13" s="86"/>
      <c r="E13" s="88" t="str">
        <f aca="false">IF(OR(C13="",C12=""),"",ROUND(C13-C12,1))</f>
        <v/>
      </c>
      <c r="F13" s="89" t="str">
        <f aca="false">IF(OR(C13="",C12=""),"",(C13-C12)/C12)</f>
        <v/>
      </c>
      <c r="G13" s="3"/>
      <c r="H13" s="9" t="s">
        <v>390</v>
      </c>
      <c r="I13" s="16"/>
      <c r="J13" s="16"/>
    </row>
    <row r="14" customFormat="false" ht="21.75" hidden="false" customHeight="true" outlineLevel="0" collapsed="false">
      <c r="A14" s="9" t="s">
        <v>38</v>
      </c>
      <c r="B14" s="84"/>
      <c r="C14" s="85"/>
      <c r="D14" s="86"/>
      <c r="E14" s="88" t="str">
        <f aca="false">IF(OR(C14="",C13=""),"",ROUND(C14-C13,1))</f>
        <v/>
      </c>
      <c r="F14" s="89" t="str">
        <f aca="false">IF(OR(C14="",C13=""),"",(C14-C13)/C13)</f>
        <v/>
      </c>
      <c r="G14" s="3"/>
      <c r="H14" s="9" t="s">
        <v>391</v>
      </c>
      <c r="I14" s="16"/>
      <c r="J14" s="16"/>
    </row>
    <row r="15" customFormat="false" ht="21.75" hidden="false" customHeight="true" outlineLevel="0" collapsed="false">
      <c r="A15" s="9" t="s">
        <v>42</v>
      </c>
      <c r="B15" s="84"/>
      <c r="C15" s="85"/>
      <c r="D15" s="86"/>
      <c r="E15" s="88" t="str">
        <f aca="false">IF(OR(C15="",C14=""),"",ROUND(C15-C14,1))</f>
        <v/>
      </c>
      <c r="F15" s="89" t="str">
        <f aca="false">IF(OR(C15="",C14=""),"",(C15-C14)/C14)</f>
        <v/>
      </c>
      <c r="G15" s="3"/>
      <c r="H15" s="9" t="s">
        <v>392</v>
      </c>
      <c r="I15" s="16"/>
      <c r="J15" s="16"/>
    </row>
    <row r="16" customFormat="false" ht="21.75" hidden="false" customHeight="true" outlineLevel="0" collapsed="false">
      <c r="A16" s="9" t="s">
        <v>46</v>
      </c>
      <c r="B16" s="84"/>
      <c r="C16" s="85"/>
      <c r="D16" s="86"/>
      <c r="E16" s="88" t="str">
        <f aca="false">IF(OR(C16="",C15=""),"",ROUND(C16-C15,1))</f>
        <v/>
      </c>
      <c r="F16" s="89" t="str">
        <f aca="false">IF(OR(C16="",C15=""),"",(C16-C15)/C15)</f>
        <v/>
      </c>
      <c r="G16" s="3"/>
      <c r="H16" s="9" t="s">
        <v>393</v>
      </c>
      <c r="I16" s="16"/>
      <c r="J16" s="16"/>
    </row>
    <row r="17" customFormat="false" ht="21.75" hidden="false" customHeight="true" outlineLevel="0" collapsed="false">
      <c r="A17" s="9" t="s">
        <v>50</v>
      </c>
      <c r="B17" s="84"/>
      <c r="C17" s="85"/>
      <c r="D17" s="86"/>
      <c r="E17" s="88" t="str">
        <f aca="false">IF(OR(C17="",C16=""),"",ROUND(C17-C16,1))</f>
        <v/>
      </c>
      <c r="F17" s="89" t="str">
        <f aca="false">IF(OR(C17="",C16=""),"",(C17-C16)/C16)</f>
        <v/>
      </c>
      <c r="G17" s="3"/>
      <c r="H17" s="9" t="s">
        <v>394</v>
      </c>
      <c r="I17" s="16"/>
      <c r="J17" s="16"/>
    </row>
    <row r="18" customFormat="false" ht="21.75" hidden="false" customHeight="true" outlineLevel="0" collapsed="false">
      <c r="A18" s="3"/>
      <c r="B18" s="3"/>
      <c r="C18" s="3"/>
      <c r="D18" s="3"/>
      <c r="E18" s="3"/>
      <c r="F18" s="3"/>
      <c r="G18" s="3"/>
      <c r="H18" s="3"/>
      <c r="I18" s="3"/>
      <c r="J18" s="3"/>
    </row>
    <row r="19" customFormat="false" ht="21.75" hidden="false" customHeight="true" outlineLevel="0" collapsed="false">
      <c r="A19" s="3"/>
      <c r="B19" s="3"/>
      <c r="C19" s="3"/>
      <c r="D19" s="3"/>
      <c r="E19" s="3"/>
      <c r="F19" s="3"/>
      <c r="G19" s="3"/>
      <c r="H19" s="3"/>
      <c r="I19" s="3"/>
      <c r="J19" s="3"/>
    </row>
    <row r="20" customFormat="false" ht="25.5" hidden="false" customHeight="true" outlineLevel="0" collapsed="false">
      <c r="A20" s="5" t="s">
        <v>395</v>
      </c>
      <c r="B20" s="5"/>
      <c r="C20" s="5"/>
      <c r="D20" s="5"/>
      <c r="E20" s="3"/>
      <c r="F20" s="3"/>
      <c r="G20" s="5" t="s">
        <v>396</v>
      </c>
      <c r="H20" s="5"/>
      <c r="I20" s="5"/>
      <c r="J20" s="5"/>
    </row>
    <row r="21" customFormat="false" ht="25.5" hidden="false" customHeight="true" outlineLevel="0" collapsed="false">
      <c r="A21" s="6" t="s">
        <v>397</v>
      </c>
      <c r="B21" s="6" t="s">
        <v>398</v>
      </c>
      <c r="C21" s="6" t="s">
        <v>24</v>
      </c>
      <c r="D21" s="6" t="s">
        <v>33</v>
      </c>
      <c r="E21" s="6" t="s">
        <v>50</v>
      </c>
      <c r="F21" s="3"/>
      <c r="G21" s="83" t="s">
        <v>399</v>
      </c>
      <c r="H21" s="83"/>
      <c r="I21" s="90" t="s">
        <v>398</v>
      </c>
      <c r="J21" s="90" t="s">
        <v>50</v>
      </c>
    </row>
    <row r="22" customFormat="false" ht="21" hidden="false" customHeight="true" outlineLevel="0" collapsed="false">
      <c r="A22" s="91" t="s">
        <v>400</v>
      </c>
      <c r="B22" s="16"/>
      <c r="C22" s="16"/>
      <c r="D22" s="16"/>
      <c r="E22" s="16"/>
      <c r="F22" s="3"/>
      <c r="G22" s="83" t="s">
        <v>401</v>
      </c>
      <c r="H22" s="83"/>
      <c r="I22" s="90" t="s">
        <v>398</v>
      </c>
      <c r="J22" s="90" t="s">
        <v>50</v>
      </c>
    </row>
    <row r="23" customFormat="false" ht="21" hidden="false" customHeight="true" outlineLevel="0" collapsed="false">
      <c r="A23" s="91" t="s">
        <v>402</v>
      </c>
      <c r="B23" s="16"/>
      <c r="C23" s="16"/>
      <c r="D23" s="16"/>
      <c r="E23" s="16"/>
      <c r="F23" s="3"/>
      <c r="G23" s="83" t="s">
        <v>403</v>
      </c>
      <c r="H23" s="83"/>
      <c r="I23" s="90" t="s">
        <v>398</v>
      </c>
      <c r="J23" s="90" t="s">
        <v>50</v>
      </c>
    </row>
    <row r="24" customFormat="false" ht="21" hidden="false" customHeight="true" outlineLevel="0" collapsed="false">
      <c r="A24" s="91" t="s">
        <v>404</v>
      </c>
      <c r="B24" s="16"/>
      <c r="C24" s="16"/>
      <c r="D24" s="16"/>
      <c r="E24" s="16"/>
      <c r="F24" s="3"/>
      <c r="G24" s="83" t="s">
        <v>405</v>
      </c>
      <c r="H24" s="83"/>
      <c r="I24" s="90" t="s">
        <v>398</v>
      </c>
      <c r="J24" s="90" t="s">
        <v>50</v>
      </c>
    </row>
    <row r="25" customFormat="false" ht="21" hidden="false" customHeight="true" outlineLevel="0" collapsed="false">
      <c r="A25" s="91" t="s">
        <v>406</v>
      </c>
      <c r="B25" s="16"/>
      <c r="C25" s="16"/>
      <c r="D25" s="16"/>
      <c r="E25" s="16"/>
      <c r="F25" s="3"/>
      <c r="G25" s="83" t="s">
        <v>407</v>
      </c>
      <c r="H25" s="83"/>
      <c r="I25" s="90" t="s">
        <v>398</v>
      </c>
      <c r="J25" s="90" t="s">
        <v>50</v>
      </c>
    </row>
    <row r="26" customFormat="false" ht="21" hidden="false" customHeight="true" outlineLevel="0" collapsed="false">
      <c r="A26" s="91" t="s">
        <v>408</v>
      </c>
      <c r="B26" s="16"/>
      <c r="C26" s="16"/>
      <c r="D26" s="16"/>
      <c r="E26" s="16"/>
      <c r="F26" s="3"/>
      <c r="G26" s="83" t="s">
        <v>409</v>
      </c>
      <c r="H26" s="83"/>
      <c r="I26" s="90" t="s">
        <v>398</v>
      </c>
      <c r="J26" s="90" t="s">
        <v>50</v>
      </c>
    </row>
    <row r="27" customFormat="false" ht="21" hidden="false" customHeight="true" outlineLevel="0" collapsed="false">
      <c r="A27" s="91" t="s">
        <v>410</v>
      </c>
      <c r="B27" s="16"/>
      <c r="C27" s="16"/>
      <c r="D27" s="16"/>
      <c r="E27" s="16"/>
      <c r="F27" s="3"/>
      <c r="G27" s="83" t="s">
        <v>411</v>
      </c>
      <c r="H27" s="83"/>
      <c r="I27" s="90" t="s">
        <v>398</v>
      </c>
      <c r="J27" s="90" t="s">
        <v>50</v>
      </c>
    </row>
    <row r="28" customFormat="false" ht="21" hidden="false" customHeight="true" outlineLevel="0" collapsed="false">
      <c r="A28" s="91" t="s">
        <v>412</v>
      </c>
      <c r="B28" s="16"/>
      <c r="C28" s="16"/>
      <c r="D28" s="16"/>
      <c r="E28" s="16"/>
      <c r="F28" s="3"/>
      <c r="G28" s="83" t="s">
        <v>413</v>
      </c>
      <c r="H28" s="83"/>
      <c r="I28" s="90" t="s">
        <v>398</v>
      </c>
      <c r="J28" s="90" t="s">
        <v>50</v>
      </c>
    </row>
    <row r="29" customFormat="false" ht="21" hidden="false" customHeight="true" outlineLevel="0" collapsed="false">
      <c r="A29" s="91" t="s">
        <v>414</v>
      </c>
      <c r="B29" s="16"/>
      <c r="C29" s="16"/>
      <c r="D29" s="16"/>
      <c r="E29" s="16"/>
      <c r="F29" s="3"/>
      <c r="G29" s="83" t="s">
        <v>415</v>
      </c>
      <c r="H29" s="83"/>
      <c r="I29" s="90" t="s">
        <v>398</v>
      </c>
      <c r="J29" s="90" t="s">
        <v>50</v>
      </c>
    </row>
    <row r="30" customFormat="false" ht="21" hidden="false" customHeight="true" outlineLevel="0" collapsed="false">
      <c r="A30" s="91" t="s">
        <v>416</v>
      </c>
      <c r="B30" s="16"/>
      <c r="C30" s="16"/>
      <c r="D30" s="16"/>
      <c r="E30" s="16"/>
      <c r="F30" s="3"/>
      <c r="G30" s="83" t="s">
        <v>417</v>
      </c>
      <c r="H30" s="83"/>
      <c r="I30" s="90" t="s">
        <v>398</v>
      </c>
      <c r="J30" s="90" t="s">
        <v>50</v>
      </c>
    </row>
    <row r="31" customFormat="false" ht="21" hidden="false" customHeight="true" outlineLevel="0" collapsed="false">
      <c r="A31" s="91" t="s">
        <v>418</v>
      </c>
      <c r="B31" s="16"/>
      <c r="C31" s="16"/>
      <c r="D31" s="16"/>
      <c r="E31" s="16"/>
      <c r="F31" s="3"/>
      <c r="G31" s="3"/>
      <c r="H31" s="3"/>
      <c r="I31" s="3"/>
      <c r="J31" s="3"/>
    </row>
    <row r="32" customFormat="false" ht="21.75" hidden="false" customHeight="true" outlineLevel="0" collapsed="false">
      <c r="A32" s="3"/>
      <c r="B32" s="3"/>
      <c r="C32" s="3"/>
      <c r="D32" s="3"/>
      <c r="E32" s="3"/>
      <c r="F32" s="3"/>
      <c r="G32" s="3"/>
      <c r="H32" s="3"/>
      <c r="I32" s="3"/>
      <c r="J32" s="3"/>
    </row>
    <row r="33" customFormat="false" ht="21.75" hidden="false" customHeight="true" outlineLevel="0" collapsed="false">
      <c r="A33" s="3"/>
      <c r="B33" s="3"/>
      <c r="C33" s="3"/>
      <c r="D33" s="3"/>
      <c r="E33" s="3"/>
      <c r="F33" s="3"/>
      <c r="G33" s="3"/>
      <c r="H33" s="3"/>
      <c r="I33" s="3"/>
      <c r="J33" s="3"/>
    </row>
    <row r="34" customFormat="false" ht="25.5" hidden="false" customHeight="true" outlineLevel="0" collapsed="false">
      <c r="A34" s="5" t="s">
        <v>419</v>
      </c>
      <c r="B34" s="5"/>
      <c r="C34" s="5"/>
      <c r="D34" s="5"/>
      <c r="E34" s="5"/>
      <c r="F34" s="5"/>
      <c r="G34" s="5"/>
      <c r="H34" s="5"/>
      <c r="I34" s="5"/>
      <c r="J34" s="5"/>
    </row>
    <row r="35" customFormat="false" ht="25.5" hidden="false" customHeight="true" outlineLevel="0" collapsed="false">
      <c r="A35" s="6" t="s">
        <v>6</v>
      </c>
      <c r="B35" s="6" t="s">
        <v>377</v>
      </c>
      <c r="C35" s="6" t="s">
        <v>420</v>
      </c>
      <c r="D35" s="6" t="s">
        <v>421</v>
      </c>
      <c r="E35" s="6" t="s">
        <v>422</v>
      </c>
      <c r="F35" s="6" t="s">
        <v>423</v>
      </c>
      <c r="G35" s="6" t="s">
        <v>37</v>
      </c>
      <c r="H35" s="3"/>
      <c r="I35" s="3"/>
      <c r="J35" s="3"/>
    </row>
    <row r="36" customFormat="false" ht="21" hidden="false" customHeight="true" outlineLevel="0" collapsed="false">
      <c r="A36" s="9" t="s">
        <v>14</v>
      </c>
      <c r="B36" s="90"/>
      <c r="C36" s="90"/>
      <c r="D36" s="90"/>
      <c r="E36" s="90"/>
      <c r="F36" s="90"/>
      <c r="G36" s="90"/>
      <c r="H36" s="3"/>
      <c r="I36" s="3"/>
      <c r="J36" s="3"/>
    </row>
    <row r="37" customFormat="false" ht="21" hidden="false" customHeight="true" outlineLevel="0" collapsed="false">
      <c r="A37" s="9" t="s">
        <v>24</v>
      </c>
      <c r="B37" s="90"/>
      <c r="C37" s="90"/>
      <c r="D37" s="90"/>
      <c r="E37" s="90"/>
      <c r="F37" s="90"/>
      <c r="G37" s="90"/>
      <c r="H37" s="3"/>
      <c r="I37" s="3"/>
      <c r="J37" s="3"/>
    </row>
    <row r="38" customFormat="false" ht="21" hidden="false" customHeight="true" outlineLevel="0" collapsed="false">
      <c r="A38" s="9" t="s">
        <v>31</v>
      </c>
      <c r="B38" s="90"/>
      <c r="C38" s="90"/>
      <c r="D38" s="90"/>
      <c r="E38" s="90"/>
      <c r="F38" s="90"/>
      <c r="G38" s="90"/>
      <c r="H38" s="3"/>
      <c r="I38" s="3"/>
      <c r="J38" s="3"/>
    </row>
    <row r="39" customFormat="false" ht="21" hidden="false" customHeight="true" outlineLevel="0" collapsed="false">
      <c r="A39" s="9" t="s">
        <v>42</v>
      </c>
      <c r="B39" s="90"/>
      <c r="C39" s="90"/>
      <c r="D39" s="90"/>
      <c r="E39" s="90"/>
      <c r="F39" s="90"/>
      <c r="G39" s="90"/>
      <c r="H39" s="3"/>
      <c r="I39" s="3"/>
      <c r="J39" s="3"/>
    </row>
    <row r="40" customFormat="false" ht="21" hidden="false" customHeight="true" outlineLevel="0" collapsed="false">
      <c r="A40" s="9" t="s">
        <v>424</v>
      </c>
      <c r="B40" s="90"/>
      <c r="C40" s="90"/>
      <c r="D40" s="90"/>
      <c r="E40" s="90"/>
      <c r="F40" s="90"/>
      <c r="G40" s="90"/>
      <c r="H40" s="3"/>
      <c r="I40" s="3"/>
      <c r="J40" s="3"/>
    </row>
    <row r="41" customFormat="false" ht="21.75" hidden="false" customHeight="true" outlineLevel="0" collapsed="false">
      <c r="A41" s="3"/>
      <c r="B41" s="3"/>
      <c r="C41" s="3"/>
      <c r="D41" s="3"/>
      <c r="E41" s="3"/>
      <c r="F41" s="3"/>
      <c r="G41" s="3"/>
      <c r="H41" s="3"/>
      <c r="I41" s="3"/>
      <c r="J41" s="3"/>
    </row>
    <row r="42" customFormat="false" ht="27.75" hidden="false" customHeight="true" outlineLevel="0" collapsed="false">
      <c r="A42" s="78" t="s">
        <v>425</v>
      </c>
      <c r="B42" s="78"/>
      <c r="C42" s="78"/>
      <c r="D42" s="78"/>
      <c r="E42" s="78"/>
      <c r="F42" s="78"/>
      <c r="G42" s="78"/>
      <c r="H42" s="78"/>
      <c r="I42" s="78"/>
      <c r="J42" s="78"/>
    </row>
  </sheetData>
  <mergeCells count="18">
    <mergeCell ref="A1:J1"/>
    <mergeCell ref="A2:J2"/>
    <mergeCell ref="A4:F4"/>
    <mergeCell ref="H4:J4"/>
    <mergeCell ref="A20:D20"/>
    <mergeCell ref="G20:J20"/>
    <mergeCell ref="G21:H21"/>
    <mergeCell ref="G22:H22"/>
    <mergeCell ref="G23:H23"/>
    <mergeCell ref="G24:H24"/>
    <mergeCell ref="G25:H25"/>
    <mergeCell ref="G26:H26"/>
    <mergeCell ref="G27:H27"/>
    <mergeCell ref="G28:H28"/>
    <mergeCell ref="G29:H29"/>
    <mergeCell ref="G30:H30"/>
    <mergeCell ref="A34:J34"/>
    <mergeCell ref="A42:J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K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1" width="26"/>
    <col collapsed="false" customWidth="true" hidden="false" outlineLevel="0" max="4" min="4" style="1" width="44"/>
    <col collapsed="false" customWidth="true" hidden="false" outlineLevel="0" max="5" min="5" style="1" width="3"/>
    <col collapsed="false" customWidth="true" hidden="false" outlineLevel="0" max="6" min="6" style="1" width="20"/>
    <col collapsed="false" customWidth="true" hidden="false" outlineLevel="0" max="8" min="7" style="1" width="32"/>
    <col collapsed="false" customWidth="true" hidden="false" outlineLevel="0" max="9" min="9" style="1" width="14"/>
    <col collapsed="false" customWidth="true" hidden="false" outlineLevel="0" max="10" min="10" style="1" width="22"/>
    <col collapsed="false" customWidth="true" hidden="false" outlineLevel="0" max="11" min="11" style="1" width="14"/>
  </cols>
  <sheetData>
    <row r="1" customFormat="false" ht="42" hidden="false" customHeight="true" outlineLevel="0" collapsed="false">
      <c r="A1" s="2" t="s">
        <v>426</v>
      </c>
      <c r="B1" s="2"/>
      <c r="C1" s="2"/>
      <c r="D1" s="2"/>
      <c r="E1" s="2"/>
      <c r="F1" s="2"/>
      <c r="G1" s="2"/>
      <c r="H1" s="2"/>
      <c r="I1" s="3"/>
      <c r="J1" s="3"/>
      <c r="K1" s="3"/>
    </row>
    <row r="2" customFormat="false" ht="21.75" hidden="false" customHeight="true" outlineLevel="0" collapsed="false">
      <c r="A2" s="4" t="s">
        <v>427</v>
      </c>
      <c r="B2" s="4"/>
      <c r="C2" s="4"/>
      <c r="D2" s="4"/>
      <c r="E2" s="4"/>
      <c r="F2" s="4"/>
      <c r="G2" s="4"/>
      <c r="H2" s="4"/>
      <c r="I2" s="3"/>
      <c r="J2" s="3"/>
      <c r="K2" s="3"/>
    </row>
    <row r="3" customFormat="false" ht="21.75" hidden="false" customHeight="true" outlineLevel="0" collapsed="false">
      <c r="A3" s="3"/>
      <c r="B3" s="3"/>
      <c r="C3" s="3"/>
      <c r="D3" s="3"/>
      <c r="E3" s="3"/>
      <c r="F3" s="3"/>
      <c r="G3" s="3"/>
      <c r="H3" s="3"/>
      <c r="I3" s="3"/>
      <c r="J3" s="3"/>
      <c r="K3" s="3"/>
    </row>
    <row r="4" customFormat="false" ht="25.5" hidden="false" customHeight="true" outlineLevel="0" collapsed="false">
      <c r="A4" s="5" t="s">
        <v>428</v>
      </c>
      <c r="B4" s="5"/>
      <c r="C4" s="5"/>
      <c r="D4" s="5"/>
      <c r="E4" s="3"/>
      <c r="F4" s="5" t="s">
        <v>429</v>
      </c>
      <c r="G4" s="5"/>
      <c r="H4" s="5"/>
      <c r="I4" s="3"/>
      <c r="J4" s="3"/>
      <c r="K4" s="3"/>
    </row>
    <row r="5" customFormat="false" ht="25.5" hidden="false" customHeight="true" outlineLevel="0" collapsed="false">
      <c r="A5" s="6" t="s">
        <v>430</v>
      </c>
      <c r="B5" s="6" t="s">
        <v>431</v>
      </c>
      <c r="C5" s="6" t="s">
        <v>432</v>
      </c>
      <c r="D5" s="6" t="s">
        <v>433</v>
      </c>
      <c r="E5" s="3"/>
      <c r="F5" s="6" t="s">
        <v>145</v>
      </c>
      <c r="G5" s="6" t="s">
        <v>434</v>
      </c>
      <c r="H5" s="6" t="s">
        <v>435</v>
      </c>
      <c r="I5" s="6" t="s">
        <v>436</v>
      </c>
      <c r="J5" s="6" t="s">
        <v>430</v>
      </c>
      <c r="K5" s="6" t="s">
        <v>437</v>
      </c>
    </row>
    <row r="6" customFormat="false" ht="24" hidden="false" customHeight="true" outlineLevel="0" collapsed="false">
      <c r="A6" s="35" t="s">
        <v>438</v>
      </c>
      <c r="B6" s="65" t="s">
        <v>439</v>
      </c>
      <c r="C6" s="92" t="s">
        <v>440</v>
      </c>
      <c r="D6" s="24" t="s">
        <v>441</v>
      </c>
      <c r="E6" s="3"/>
      <c r="F6" s="93" t="s">
        <v>442</v>
      </c>
      <c r="G6" s="94" t="s">
        <v>443</v>
      </c>
      <c r="H6" s="68" t="s">
        <v>444</v>
      </c>
      <c r="I6" s="69" t="s">
        <v>52</v>
      </c>
      <c r="J6" s="94" t="s">
        <v>445</v>
      </c>
      <c r="K6" s="95" t="s">
        <v>446</v>
      </c>
    </row>
    <row r="7" customFormat="false" ht="24" hidden="false" customHeight="true" outlineLevel="0" collapsed="false">
      <c r="A7" s="35" t="s">
        <v>447</v>
      </c>
      <c r="B7" s="65" t="s">
        <v>448</v>
      </c>
      <c r="C7" s="92" t="s">
        <v>440</v>
      </c>
      <c r="D7" s="24" t="s">
        <v>449</v>
      </c>
      <c r="E7" s="3"/>
      <c r="F7" s="96" t="s">
        <v>442</v>
      </c>
      <c r="G7" s="92" t="s">
        <v>450</v>
      </c>
      <c r="H7" s="64" t="s">
        <v>451</v>
      </c>
      <c r="I7" s="65" t="s">
        <v>452</v>
      </c>
      <c r="J7" s="92" t="s">
        <v>453</v>
      </c>
      <c r="K7" s="97" t="s">
        <v>446</v>
      </c>
    </row>
    <row r="8" customFormat="false" ht="24" hidden="false" customHeight="true" outlineLevel="0" collapsed="false">
      <c r="A8" s="35" t="s">
        <v>454</v>
      </c>
      <c r="B8" s="65" t="s">
        <v>455</v>
      </c>
      <c r="C8" s="92" t="s">
        <v>456</v>
      </c>
      <c r="D8" s="24" t="s">
        <v>457</v>
      </c>
      <c r="E8" s="3"/>
      <c r="F8" s="93" t="s">
        <v>442</v>
      </c>
      <c r="G8" s="94" t="s">
        <v>458</v>
      </c>
      <c r="H8" s="68" t="s">
        <v>459</v>
      </c>
      <c r="I8" s="69" t="s">
        <v>460</v>
      </c>
      <c r="J8" s="94" t="s">
        <v>461</v>
      </c>
      <c r="K8" s="95" t="s">
        <v>446</v>
      </c>
    </row>
    <row r="9" customFormat="false" ht="24" hidden="false" customHeight="true" outlineLevel="0" collapsed="false">
      <c r="A9" s="35" t="s">
        <v>462</v>
      </c>
      <c r="B9" s="65" t="s">
        <v>463</v>
      </c>
      <c r="C9" s="92" t="s">
        <v>464</v>
      </c>
      <c r="D9" s="24" t="s">
        <v>465</v>
      </c>
      <c r="E9" s="3"/>
      <c r="F9" s="96" t="s">
        <v>442</v>
      </c>
      <c r="G9" s="92" t="s">
        <v>466</v>
      </c>
      <c r="H9" s="64" t="s">
        <v>467</v>
      </c>
      <c r="I9" s="65" t="s">
        <v>468</v>
      </c>
      <c r="J9" s="92" t="s">
        <v>469</v>
      </c>
      <c r="K9" s="97" t="s">
        <v>446</v>
      </c>
    </row>
    <row r="10" customFormat="false" ht="24" hidden="false" customHeight="true" outlineLevel="0" collapsed="false">
      <c r="A10" s="35" t="s">
        <v>470</v>
      </c>
      <c r="B10" s="65" t="s">
        <v>471</v>
      </c>
      <c r="C10" s="92" t="s">
        <v>472</v>
      </c>
      <c r="D10" s="24" t="s">
        <v>473</v>
      </c>
      <c r="E10" s="3"/>
      <c r="F10" s="93" t="s">
        <v>442</v>
      </c>
      <c r="G10" s="94" t="s">
        <v>474</v>
      </c>
      <c r="H10" s="68" t="s">
        <v>475</v>
      </c>
      <c r="I10" s="69" t="s">
        <v>476</v>
      </c>
      <c r="J10" s="94" t="s">
        <v>461</v>
      </c>
      <c r="K10" s="95" t="s">
        <v>446</v>
      </c>
    </row>
    <row r="11" customFormat="false" ht="24" hidden="false" customHeight="true" outlineLevel="0" collapsed="false">
      <c r="A11" s="35" t="s">
        <v>477</v>
      </c>
      <c r="B11" s="65" t="s">
        <v>455</v>
      </c>
      <c r="C11" s="92" t="s">
        <v>478</v>
      </c>
      <c r="D11" s="24" t="s">
        <v>479</v>
      </c>
      <c r="E11" s="3"/>
      <c r="F11" s="96" t="s">
        <v>442</v>
      </c>
      <c r="G11" s="92" t="s">
        <v>480</v>
      </c>
      <c r="H11" s="64" t="s">
        <v>481</v>
      </c>
      <c r="I11" s="65" t="s">
        <v>482</v>
      </c>
      <c r="J11" s="92" t="s">
        <v>469</v>
      </c>
      <c r="K11" s="97" t="s">
        <v>446</v>
      </c>
    </row>
    <row r="12" customFormat="false" ht="24" hidden="false" customHeight="true" outlineLevel="0" collapsed="false">
      <c r="A12" s="35" t="s">
        <v>483</v>
      </c>
      <c r="B12" s="65" t="s">
        <v>484</v>
      </c>
      <c r="C12" s="92" t="s">
        <v>485</v>
      </c>
      <c r="D12" s="24" t="s">
        <v>486</v>
      </c>
      <c r="E12" s="3"/>
      <c r="F12" s="93" t="s">
        <v>442</v>
      </c>
      <c r="G12" s="94" t="s">
        <v>487</v>
      </c>
      <c r="H12" s="68" t="s">
        <v>488</v>
      </c>
      <c r="I12" s="69" t="s">
        <v>460</v>
      </c>
      <c r="J12" s="94" t="s">
        <v>489</v>
      </c>
      <c r="K12" s="95" t="s">
        <v>446</v>
      </c>
    </row>
    <row r="13" customFormat="false" ht="21.75" hidden="false" customHeight="true" outlineLevel="0" collapsed="false">
      <c r="A13" s="3"/>
      <c r="B13" s="3"/>
      <c r="C13" s="3"/>
      <c r="D13" s="3"/>
      <c r="E13" s="3"/>
      <c r="F13" s="96" t="s">
        <v>442</v>
      </c>
      <c r="G13" s="92" t="s">
        <v>490</v>
      </c>
      <c r="H13" s="64" t="s">
        <v>491</v>
      </c>
      <c r="I13" s="65" t="s">
        <v>492</v>
      </c>
      <c r="J13" s="92" t="s">
        <v>469</v>
      </c>
      <c r="K13" s="98" t="s">
        <v>493</v>
      </c>
    </row>
    <row r="14" customFormat="false" ht="21.75" hidden="false" customHeight="true" outlineLevel="0" collapsed="false">
      <c r="A14" s="3"/>
      <c r="B14" s="3"/>
      <c r="C14" s="3"/>
      <c r="D14" s="3"/>
      <c r="E14" s="3"/>
      <c r="F14" s="93" t="s">
        <v>494</v>
      </c>
      <c r="G14" s="94" t="s">
        <v>495</v>
      </c>
      <c r="H14" s="68" t="s">
        <v>496</v>
      </c>
      <c r="I14" s="69" t="s">
        <v>468</v>
      </c>
      <c r="J14" s="94" t="s">
        <v>497</v>
      </c>
      <c r="K14" s="95" t="s">
        <v>446</v>
      </c>
    </row>
    <row r="15" customFormat="false" ht="25.5" hidden="false" customHeight="true" outlineLevel="0" collapsed="false">
      <c r="A15" s="5" t="s">
        <v>498</v>
      </c>
      <c r="B15" s="5"/>
      <c r="C15" s="5"/>
      <c r="D15" s="5"/>
      <c r="E15" s="3"/>
      <c r="F15" s="96" t="s">
        <v>494</v>
      </c>
      <c r="G15" s="92" t="s">
        <v>499</v>
      </c>
      <c r="H15" s="64" t="s">
        <v>496</v>
      </c>
      <c r="I15" s="65" t="s">
        <v>500</v>
      </c>
      <c r="J15" s="92" t="s">
        <v>497</v>
      </c>
      <c r="K15" s="97" t="s">
        <v>446</v>
      </c>
    </row>
    <row r="16" customFormat="false" ht="25.5" hidden="false" customHeight="true" outlineLevel="0" collapsed="false">
      <c r="A16" s="6" t="s">
        <v>501</v>
      </c>
      <c r="B16" s="6" t="s">
        <v>502</v>
      </c>
      <c r="C16" s="6" t="s">
        <v>503</v>
      </c>
      <c r="D16" s="6" t="s">
        <v>504</v>
      </c>
      <c r="E16" s="3"/>
      <c r="F16" s="93" t="s">
        <v>494</v>
      </c>
      <c r="G16" s="94" t="s">
        <v>505</v>
      </c>
      <c r="H16" s="68" t="s">
        <v>506</v>
      </c>
      <c r="I16" s="69" t="s">
        <v>507</v>
      </c>
      <c r="J16" s="94" t="s">
        <v>469</v>
      </c>
      <c r="K16" s="95" t="s">
        <v>446</v>
      </c>
    </row>
    <row r="17" customFormat="false" ht="25.5" hidden="false" customHeight="true" outlineLevel="0" collapsed="false">
      <c r="A17" s="69" t="s">
        <v>508</v>
      </c>
      <c r="B17" s="92" t="s">
        <v>509</v>
      </c>
      <c r="C17" s="92" t="s">
        <v>510</v>
      </c>
      <c r="D17" s="92" t="s">
        <v>511</v>
      </c>
      <c r="E17" s="3"/>
      <c r="F17" s="96" t="s">
        <v>494</v>
      </c>
      <c r="G17" s="92" t="s">
        <v>512</v>
      </c>
      <c r="H17" s="64" t="s">
        <v>496</v>
      </c>
      <c r="I17" s="65" t="s">
        <v>507</v>
      </c>
      <c r="J17" s="92" t="s">
        <v>461</v>
      </c>
      <c r="K17" s="98" t="s">
        <v>493</v>
      </c>
    </row>
    <row r="18" customFormat="false" ht="25.5" hidden="false" customHeight="true" outlineLevel="0" collapsed="false">
      <c r="A18" s="69" t="s">
        <v>513</v>
      </c>
      <c r="B18" s="92" t="s">
        <v>514</v>
      </c>
      <c r="C18" s="92" t="s">
        <v>510</v>
      </c>
      <c r="D18" s="92" t="s">
        <v>515</v>
      </c>
      <c r="E18" s="3"/>
      <c r="F18" s="93" t="s">
        <v>228</v>
      </c>
      <c r="G18" s="94" t="s">
        <v>516</v>
      </c>
      <c r="H18" s="68" t="s">
        <v>517</v>
      </c>
      <c r="I18" s="69" t="s">
        <v>500</v>
      </c>
      <c r="J18" s="94" t="s">
        <v>518</v>
      </c>
      <c r="K18" s="95" t="s">
        <v>446</v>
      </c>
    </row>
    <row r="19" customFormat="false" ht="25.5" hidden="false" customHeight="true" outlineLevel="0" collapsed="false">
      <c r="A19" s="69" t="s">
        <v>519</v>
      </c>
      <c r="B19" s="92" t="s">
        <v>520</v>
      </c>
      <c r="C19" s="92" t="s">
        <v>521</v>
      </c>
      <c r="D19" s="92" t="s">
        <v>522</v>
      </c>
      <c r="E19" s="3"/>
      <c r="F19" s="96" t="s">
        <v>228</v>
      </c>
      <c r="G19" s="92" t="s">
        <v>523</v>
      </c>
      <c r="H19" s="64" t="s">
        <v>524</v>
      </c>
      <c r="I19" s="65" t="s">
        <v>507</v>
      </c>
      <c r="J19" s="92" t="s">
        <v>461</v>
      </c>
      <c r="K19" s="97" t="s">
        <v>446</v>
      </c>
    </row>
    <row r="20" customFormat="false" ht="25.5" hidden="false" customHeight="true" outlineLevel="0" collapsed="false">
      <c r="A20" s="69" t="s">
        <v>525</v>
      </c>
      <c r="B20" s="92" t="s">
        <v>526</v>
      </c>
      <c r="C20" s="92" t="s">
        <v>521</v>
      </c>
      <c r="D20" s="92" t="s">
        <v>527</v>
      </c>
      <c r="E20" s="3"/>
      <c r="F20" s="93" t="s">
        <v>228</v>
      </c>
      <c r="G20" s="94" t="s">
        <v>528</v>
      </c>
      <c r="H20" s="68" t="s">
        <v>459</v>
      </c>
      <c r="I20" s="69" t="s">
        <v>476</v>
      </c>
      <c r="J20" s="94" t="s">
        <v>469</v>
      </c>
      <c r="K20" s="99" t="s">
        <v>493</v>
      </c>
    </row>
    <row r="21" customFormat="false" ht="25.5" hidden="false" customHeight="true" outlineLevel="0" collapsed="false">
      <c r="A21" s="69" t="s">
        <v>529</v>
      </c>
      <c r="B21" s="92" t="s">
        <v>530</v>
      </c>
      <c r="C21" s="92" t="s">
        <v>510</v>
      </c>
      <c r="D21" s="92" t="s">
        <v>531</v>
      </c>
      <c r="E21" s="3"/>
      <c r="F21" s="96" t="s">
        <v>228</v>
      </c>
      <c r="G21" s="92" t="s">
        <v>532</v>
      </c>
      <c r="H21" s="64" t="s">
        <v>533</v>
      </c>
      <c r="I21" s="65" t="s">
        <v>482</v>
      </c>
      <c r="J21" s="92" t="s">
        <v>534</v>
      </c>
      <c r="K21" s="97" t="s">
        <v>446</v>
      </c>
    </row>
    <row r="22" customFormat="false" ht="25.5" hidden="false" customHeight="true" outlineLevel="0" collapsed="false">
      <c r="A22" s="69" t="s">
        <v>535</v>
      </c>
      <c r="B22" s="92" t="s">
        <v>536</v>
      </c>
      <c r="C22" s="92" t="s">
        <v>510</v>
      </c>
      <c r="D22" s="92" t="s">
        <v>537</v>
      </c>
      <c r="E22" s="3"/>
      <c r="F22" s="93" t="s">
        <v>228</v>
      </c>
      <c r="G22" s="94" t="s">
        <v>538</v>
      </c>
      <c r="H22" s="68" t="s">
        <v>539</v>
      </c>
      <c r="I22" s="69" t="s">
        <v>476</v>
      </c>
      <c r="J22" s="94" t="s">
        <v>469</v>
      </c>
      <c r="K22" s="95" t="s">
        <v>446</v>
      </c>
    </row>
    <row r="23" customFormat="false" ht="25.5" hidden="false" customHeight="true" outlineLevel="0" collapsed="false">
      <c r="A23" s="69" t="s">
        <v>540</v>
      </c>
      <c r="B23" s="92" t="s">
        <v>541</v>
      </c>
      <c r="C23" s="92" t="s">
        <v>510</v>
      </c>
      <c r="D23" s="92" t="s">
        <v>542</v>
      </c>
      <c r="E23" s="3"/>
      <c r="F23" s="96" t="s">
        <v>228</v>
      </c>
      <c r="G23" s="92" t="s">
        <v>543</v>
      </c>
      <c r="H23" s="64" t="s">
        <v>544</v>
      </c>
      <c r="I23" s="65" t="s">
        <v>507</v>
      </c>
      <c r="J23" s="92" t="s">
        <v>469</v>
      </c>
      <c r="K23" s="97" t="s">
        <v>446</v>
      </c>
    </row>
    <row r="24" customFormat="false" ht="25.5" hidden="false" customHeight="true" outlineLevel="0" collapsed="false">
      <c r="A24" s="69" t="s">
        <v>545</v>
      </c>
      <c r="B24" s="92" t="s">
        <v>546</v>
      </c>
      <c r="C24" s="92" t="s">
        <v>510</v>
      </c>
      <c r="D24" s="92" t="s">
        <v>511</v>
      </c>
      <c r="E24" s="3"/>
      <c r="F24" s="93" t="s">
        <v>547</v>
      </c>
      <c r="G24" s="94" t="s">
        <v>548</v>
      </c>
      <c r="H24" s="68" t="s">
        <v>549</v>
      </c>
      <c r="I24" s="69" t="s">
        <v>468</v>
      </c>
      <c r="J24" s="94" t="s">
        <v>469</v>
      </c>
      <c r="K24" s="95" t="s">
        <v>446</v>
      </c>
    </row>
    <row r="25" customFormat="false" ht="21.75" hidden="false" customHeight="true" outlineLevel="0" collapsed="false">
      <c r="A25" s="3"/>
      <c r="B25" s="3"/>
      <c r="C25" s="3"/>
      <c r="D25" s="3"/>
      <c r="E25" s="3"/>
      <c r="F25" s="96" t="s">
        <v>547</v>
      </c>
      <c r="G25" s="92" t="s">
        <v>550</v>
      </c>
      <c r="H25" s="64" t="s">
        <v>551</v>
      </c>
      <c r="I25" s="65" t="s">
        <v>507</v>
      </c>
      <c r="J25" s="92" t="s">
        <v>469</v>
      </c>
      <c r="K25" s="97" t="s">
        <v>446</v>
      </c>
    </row>
    <row r="26" customFormat="false" ht="25.5" hidden="false" customHeight="true" outlineLevel="0" collapsed="false">
      <c r="A26" s="5" t="s">
        <v>552</v>
      </c>
      <c r="B26" s="5"/>
      <c r="C26" s="5"/>
      <c r="D26" s="5"/>
      <c r="E26" s="3"/>
      <c r="F26" s="93" t="s">
        <v>547</v>
      </c>
      <c r="G26" s="94" t="s">
        <v>553</v>
      </c>
      <c r="H26" s="68" t="s">
        <v>554</v>
      </c>
      <c r="I26" s="69" t="s">
        <v>492</v>
      </c>
      <c r="J26" s="94" t="s">
        <v>461</v>
      </c>
      <c r="K26" s="99" t="s">
        <v>493</v>
      </c>
    </row>
    <row r="27" customFormat="false" ht="25.5" hidden="false" customHeight="true" outlineLevel="0" collapsed="false">
      <c r="A27" s="6" t="s">
        <v>123</v>
      </c>
      <c r="B27" s="6" t="s">
        <v>555</v>
      </c>
      <c r="C27" s="6" t="s">
        <v>556</v>
      </c>
      <c r="D27" s="6" t="s">
        <v>557</v>
      </c>
      <c r="E27" s="3"/>
      <c r="F27" s="96" t="s">
        <v>547</v>
      </c>
      <c r="G27" s="92" t="s">
        <v>262</v>
      </c>
      <c r="H27" s="64" t="s">
        <v>558</v>
      </c>
      <c r="I27" s="65" t="s">
        <v>500</v>
      </c>
      <c r="J27" s="92" t="s">
        <v>559</v>
      </c>
      <c r="K27" s="98" t="s">
        <v>493</v>
      </c>
    </row>
    <row r="28" customFormat="false" ht="21.75" hidden="false" customHeight="true" outlineLevel="0" collapsed="false">
      <c r="A28" s="7" t="s">
        <v>560</v>
      </c>
      <c r="B28" s="64" t="s">
        <v>561</v>
      </c>
      <c r="C28" s="64" t="s">
        <v>562</v>
      </c>
      <c r="D28" s="92" t="s">
        <v>563</v>
      </c>
      <c r="E28" s="3"/>
      <c r="F28" s="93" t="s">
        <v>564</v>
      </c>
      <c r="G28" s="94" t="s">
        <v>274</v>
      </c>
      <c r="H28" s="68" t="s">
        <v>565</v>
      </c>
      <c r="I28" s="69" t="s">
        <v>460</v>
      </c>
      <c r="J28" s="94" t="s">
        <v>453</v>
      </c>
      <c r="K28" s="99" t="s">
        <v>493</v>
      </c>
    </row>
    <row r="29" customFormat="false" ht="21.75" hidden="false" customHeight="true" outlineLevel="0" collapsed="false">
      <c r="A29" s="7" t="s">
        <v>566</v>
      </c>
      <c r="B29" s="64" t="s">
        <v>561</v>
      </c>
      <c r="C29" s="64" t="s">
        <v>567</v>
      </c>
      <c r="D29" s="92" t="s">
        <v>568</v>
      </c>
      <c r="E29" s="3"/>
      <c r="F29" s="96" t="s">
        <v>564</v>
      </c>
      <c r="G29" s="92" t="s">
        <v>569</v>
      </c>
      <c r="H29" s="64" t="s">
        <v>570</v>
      </c>
      <c r="I29" s="65" t="s">
        <v>468</v>
      </c>
      <c r="J29" s="92" t="s">
        <v>469</v>
      </c>
      <c r="K29" s="97" t="s">
        <v>446</v>
      </c>
    </row>
    <row r="30" customFormat="false" ht="21.75" hidden="false" customHeight="true" outlineLevel="0" collapsed="false">
      <c r="A30" s="7" t="s">
        <v>571</v>
      </c>
      <c r="B30" s="64" t="s">
        <v>572</v>
      </c>
      <c r="C30" s="64" t="s">
        <v>573</v>
      </c>
      <c r="D30" s="92" t="s">
        <v>574</v>
      </c>
      <c r="E30" s="3"/>
      <c r="F30" s="93" t="s">
        <v>564</v>
      </c>
      <c r="G30" s="94" t="s">
        <v>575</v>
      </c>
      <c r="H30" s="68" t="s">
        <v>576</v>
      </c>
      <c r="I30" s="69" t="s">
        <v>507</v>
      </c>
      <c r="J30" s="94" t="s">
        <v>469</v>
      </c>
      <c r="K30" s="95" t="s">
        <v>446</v>
      </c>
    </row>
    <row r="31" customFormat="false" ht="21.75" hidden="false" customHeight="true" outlineLevel="0" collapsed="false">
      <c r="A31" s="7" t="s">
        <v>577</v>
      </c>
      <c r="B31" s="64" t="s">
        <v>578</v>
      </c>
      <c r="C31" s="64" t="s">
        <v>579</v>
      </c>
      <c r="D31" s="92" t="s">
        <v>580</v>
      </c>
      <c r="E31" s="3"/>
      <c r="F31" s="96" t="s">
        <v>564</v>
      </c>
      <c r="G31" s="92" t="s">
        <v>581</v>
      </c>
      <c r="H31" s="64" t="s">
        <v>286</v>
      </c>
      <c r="I31" s="65" t="s">
        <v>582</v>
      </c>
      <c r="J31" s="92" t="s">
        <v>453</v>
      </c>
      <c r="K31" s="97" t="s">
        <v>446</v>
      </c>
    </row>
    <row r="32" customFormat="false" ht="21.75" hidden="false" customHeight="true" outlineLevel="0" collapsed="false">
      <c r="A32" s="7" t="s">
        <v>583</v>
      </c>
      <c r="B32" s="64" t="s">
        <v>584</v>
      </c>
      <c r="C32" s="64" t="s">
        <v>562</v>
      </c>
      <c r="D32" s="92" t="s">
        <v>585</v>
      </c>
      <c r="E32" s="3"/>
      <c r="F32" s="93" t="s">
        <v>564</v>
      </c>
      <c r="G32" s="94" t="s">
        <v>586</v>
      </c>
      <c r="H32" s="68" t="s">
        <v>587</v>
      </c>
      <c r="I32" s="69" t="s">
        <v>476</v>
      </c>
      <c r="J32" s="94" t="s">
        <v>469</v>
      </c>
      <c r="K32" s="95" t="s">
        <v>446</v>
      </c>
    </row>
    <row r="33" customFormat="false" ht="21.75" hidden="false" customHeight="true" outlineLevel="0" collapsed="false">
      <c r="A33" s="7" t="s">
        <v>588</v>
      </c>
      <c r="B33" s="64" t="s">
        <v>589</v>
      </c>
      <c r="C33" s="64" t="s">
        <v>573</v>
      </c>
      <c r="D33" s="92" t="s">
        <v>590</v>
      </c>
      <c r="E33" s="3"/>
      <c r="F33" s="96" t="s">
        <v>564</v>
      </c>
      <c r="G33" s="92" t="s">
        <v>591</v>
      </c>
      <c r="H33" s="64" t="s">
        <v>592</v>
      </c>
      <c r="I33" s="65" t="s">
        <v>492</v>
      </c>
      <c r="J33" s="92" t="s">
        <v>469</v>
      </c>
      <c r="K33" s="98" t="s">
        <v>493</v>
      </c>
    </row>
    <row r="34" customFormat="false" ht="25.5" hidden="false" customHeight="true" outlineLevel="0" collapsed="false">
      <c r="A34" s="7" t="s">
        <v>593</v>
      </c>
      <c r="B34" s="64" t="s">
        <v>439</v>
      </c>
      <c r="C34" s="64" t="s">
        <v>567</v>
      </c>
      <c r="D34" s="92" t="s">
        <v>594</v>
      </c>
      <c r="E34" s="3"/>
      <c r="F34" s="5" t="s">
        <v>595</v>
      </c>
      <c r="G34" s="5"/>
      <c r="H34" s="5"/>
      <c r="I34" s="3"/>
      <c r="J34" s="3"/>
      <c r="K34" s="3"/>
    </row>
    <row r="35" customFormat="false" ht="25.5" hidden="false" customHeight="true" outlineLevel="0" collapsed="false">
      <c r="A35" s="7" t="s">
        <v>596</v>
      </c>
      <c r="B35" s="64" t="s">
        <v>578</v>
      </c>
      <c r="C35" s="64" t="s">
        <v>573</v>
      </c>
      <c r="D35" s="92" t="s">
        <v>597</v>
      </c>
      <c r="E35" s="3"/>
      <c r="F35" s="6" t="s">
        <v>145</v>
      </c>
      <c r="G35" s="6" t="s">
        <v>598</v>
      </c>
      <c r="H35" s="6" t="s">
        <v>599</v>
      </c>
      <c r="I35" s="3"/>
      <c r="J35" s="3"/>
      <c r="K35" s="3"/>
    </row>
    <row r="36" customFormat="false" ht="21.75" hidden="false" customHeight="true" outlineLevel="0" collapsed="false">
      <c r="A36" s="3"/>
      <c r="B36" s="3"/>
      <c r="C36" s="3"/>
      <c r="D36" s="3"/>
      <c r="E36" s="3"/>
      <c r="F36" s="92" t="s">
        <v>600</v>
      </c>
      <c r="G36" s="64" t="s">
        <v>601</v>
      </c>
      <c r="H36" s="64" t="s">
        <v>602</v>
      </c>
      <c r="I36" s="3"/>
      <c r="J36" s="3"/>
      <c r="K36" s="3"/>
    </row>
    <row r="37" customFormat="false" ht="21.75" hidden="false" customHeight="true" outlineLevel="0" collapsed="false">
      <c r="A37" s="3"/>
      <c r="B37" s="3"/>
      <c r="C37" s="3"/>
      <c r="D37" s="3"/>
      <c r="E37" s="3"/>
      <c r="F37" s="92" t="s">
        <v>603</v>
      </c>
      <c r="G37" s="64" t="s">
        <v>604</v>
      </c>
      <c r="H37" s="64" t="s">
        <v>605</v>
      </c>
      <c r="I37" s="3"/>
      <c r="J37" s="3"/>
      <c r="K37" s="3"/>
    </row>
    <row r="38" customFormat="false" ht="21.75" hidden="false" customHeight="true" outlineLevel="0" collapsed="false">
      <c r="A38" s="3"/>
      <c r="B38" s="3"/>
      <c r="C38" s="3"/>
      <c r="D38" s="3"/>
      <c r="E38" s="3"/>
      <c r="F38" s="92" t="s">
        <v>606</v>
      </c>
      <c r="G38" s="64" t="s">
        <v>607</v>
      </c>
      <c r="H38" s="64" t="s">
        <v>608</v>
      </c>
      <c r="I38" s="3"/>
      <c r="J38" s="3"/>
      <c r="K38" s="3"/>
    </row>
    <row r="39" customFormat="false" ht="21.75" hidden="false" customHeight="true" outlineLevel="0" collapsed="false">
      <c r="A39" s="3"/>
      <c r="B39" s="3"/>
      <c r="C39" s="3"/>
      <c r="D39" s="3"/>
      <c r="E39" s="3"/>
      <c r="F39" s="92" t="s">
        <v>609</v>
      </c>
      <c r="G39" s="64" t="s">
        <v>610</v>
      </c>
      <c r="H39" s="64" t="s">
        <v>611</v>
      </c>
      <c r="I39" s="3"/>
      <c r="J39" s="3"/>
      <c r="K39" s="3"/>
    </row>
    <row r="40" customFormat="false" ht="30" hidden="false" customHeight="true" outlineLevel="0" collapsed="false">
      <c r="A40" s="3"/>
      <c r="B40" s="3"/>
      <c r="C40" s="3"/>
      <c r="D40" s="3"/>
      <c r="E40" s="3"/>
      <c r="F40" s="92" t="s">
        <v>612</v>
      </c>
      <c r="G40" s="64" t="s">
        <v>613</v>
      </c>
      <c r="H40" s="64" t="s">
        <v>614</v>
      </c>
      <c r="I40" s="3"/>
      <c r="J40" s="3"/>
      <c r="K40" s="3"/>
    </row>
    <row r="41" customFormat="false" ht="30" hidden="false" customHeight="true" outlineLevel="0" collapsed="false">
      <c r="A41" s="3"/>
      <c r="B41" s="3"/>
      <c r="C41" s="3"/>
      <c r="D41" s="3"/>
      <c r="E41" s="3"/>
      <c r="F41" s="45" t="s">
        <v>615</v>
      </c>
      <c r="G41" s="48" t="s">
        <v>616</v>
      </c>
      <c r="H41" s="48" t="s">
        <v>617</v>
      </c>
      <c r="I41" s="3"/>
      <c r="J41" s="3"/>
      <c r="K41" s="3"/>
    </row>
    <row r="42" customFormat="false" ht="21.75" hidden="false" customHeight="true" outlineLevel="0" collapsed="false">
      <c r="A42" s="3"/>
      <c r="B42" s="3"/>
      <c r="C42" s="3"/>
      <c r="D42" s="3"/>
      <c r="E42" s="3"/>
      <c r="F42" s="45" t="s">
        <v>618</v>
      </c>
      <c r="G42" s="48" t="s">
        <v>619</v>
      </c>
      <c r="H42" s="48" t="s">
        <v>511</v>
      </c>
      <c r="I42" s="3"/>
      <c r="J42" s="3"/>
      <c r="K42" s="3"/>
    </row>
  </sheetData>
  <mergeCells count="7">
    <mergeCell ref="A1:H1"/>
    <mergeCell ref="A2:H2"/>
    <mergeCell ref="A4:D4"/>
    <mergeCell ref="F4:H4"/>
    <mergeCell ref="A15:D15"/>
    <mergeCell ref="A26:D26"/>
    <mergeCell ref="F34:H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6"/>
    <col collapsed="false" customWidth="true" hidden="false" outlineLevel="0" max="3" min="3" style="1" width="24"/>
    <col collapsed="false" customWidth="true" hidden="false" outlineLevel="0" max="4" min="4" style="1" width="40"/>
    <col collapsed="false" customWidth="true" hidden="false" outlineLevel="0" max="5" min="5" style="1" width="32"/>
    <col collapsed="false" customWidth="true" hidden="false" outlineLevel="0" max="6" min="6" style="1" width="14"/>
    <col collapsed="false" customWidth="true" hidden="false" outlineLevel="0" max="7" min="7" style="1" width="22"/>
    <col collapsed="false" customWidth="true" hidden="false" outlineLevel="0" max="8" min="8" style="1" width="13"/>
    <col collapsed="false" customWidth="true" hidden="false" outlineLevel="0" max="9" min="9" style="1" width="15"/>
    <col collapsed="false" customWidth="true" hidden="false" outlineLevel="0" max="10" min="10" style="1" width="34"/>
  </cols>
  <sheetData>
    <row r="1" customFormat="false" ht="42" hidden="false" customHeight="true" outlineLevel="0" collapsed="false">
      <c r="A1" s="2" t="s">
        <v>620</v>
      </c>
      <c r="B1" s="2"/>
      <c r="C1" s="2"/>
      <c r="D1" s="2"/>
      <c r="E1" s="2"/>
      <c r="F1" s="2"/>
      <c r="G1" s="2"/>
      <c r="H1" s="2"/>
      <c r="I1" s="3"/>
      <c r="J1" s="3"/>
    </row>
    <row r="2" customFormat="false" ht="21.75" hidden="false" customHeight="true" outlineLevel="0" collapsed="false">
      <c r="A2" s="4" t="s">
        <v>621</v>
      </c>
      <c r="B2" s="4"/>
      <c r="C2" s="4"/>
      <c r="D2" s="4"/>
      <c r="E2" s="4"/>
      <c r="F2" s="4"/>
      <c r="G2" s="4"/>
      <c r="H2" s="4"/>
      <c r="I2" s="3"/>
      <c r="J2" s="3"/>
    </row>
    <row r="3" customFormat="false" ht="21.75" hidden="false" customHeight="true" outlineLevel="0" collapsed="false">
      <c r="A3" s="3"/>
      <c r="B3" s="3"/>
      <c r="C3" s="3"/>
      <c r="D3" s="3"/>
      <c r="E3" s="3"/>
      <c r="F3" s="3"/>
      <c r="G3" s="3"/>
      <c r="H3" s="3"/>
      <c r="I3" s="3"/>
      <c r="J3" s="3"/>
    </row>
    <row r="4" customFormat="false" ht="25.5" hidden="false" customHeight="true" outlineLevel="0" collapsed="false">
      <c r="A4" s="5" t="s">
        <v>622</v>
      </c>
      <c r="B4" s="5"/>
      <c r="C4" s="5"/>
      <c r="D4" s="5"/>
      <c r="E4" s="3"/>
      <c r="F4" s="5" t="s">
        <v>623</v>
      </c>
      <c r="G4" s="5"/>
      <c r="H4" s="5"/>
      <c r="I4" s="3"/>
      <c r="J4" s="3"/>
    </row>
    <row r="5" customFormat="false" ht="25.5" hidden="false" customHeight="true" outlineLevel="0" collapsed="false">
      <c r="A5" s="6" t="s">
        <v>624</v>
      </c>
      <c r="B5" s="6" t="s">
        <v>625</v>
      </c>
      <c r="C5" s="6" t="s">
        <v>626</v>
      </c>
      <c r="D5" s="6" t="s">
        <v>627</v>
      </c>
      <c r="E5" s="6" t="s">
        <v>628</v>
      </c>
      <c r="F5" s="6" t="s">
        <v>122</v>
      </c>
      <c r="G5" s="6" t="s">
        <v>629</v>
      </c>
      <c r="H5" s="6" t="s">
        <v>630</v>
      </c>
      <c r="I5" s="6" t="s">
        <v>631</v>
      </c>
      <c r="J5" s="6" t="s">
        <v>37</v>
      </c>
    </row>
    <row r="6" customFormat="false" ht="24" hidden="false" customHeight="true" outlineLevel="0" collapsed="false">
      <c r="A6" s="7" t="s">
        <v>632</v>
      </c>
      <c r="B6" s="92" t="s">
        <v>633</v>
      </c>
      <c r="C6" s="92" t="s">
        <v>634</v>
      </c>
      <c r="D6" s="92" t="s">
        <v>635</v>
      </c>
      <c r="E6" s="92" t="s">
        <v>636</v>
      </c>
      <c r="F6" s="9" t="s">
        <v>637</v>
      </c>
      <c r="G6" s="92" t="s">
        <v>638</v>
      </c>
      <c r="H6" s="31" t="n">
        <v>500</v>
      </c>
      <c r="I6" s="100" t="n">
        <f aca="false">H6</f>
        <v>500</v>
      </c>
      <c r="J6" s="24" t="s">
        <v>639</v>
      </c>
    </row>
    <row r="7" customFormat="false" ht="24" hidden="false" customHeight="true" outlineLevel="0" collapsed="false">
      <c r="A7" s="7" t="s">
        <v>640</v>
      </c>
      <c r="B7" s="92" t="s">
        <v>641</v>
      </c>
      <c r="C7" s="92" t="s">
        <v>642</v>
      </c>
      <c r="D7" s="92" t="s">
        <v>643</v>
      </c>
      <c r="E7" s="92" t="s">
        <v>644</v>
      </c>
      <c r="F7" s="9" t="s">
        <v>645</v>
      </c>
      <c r="G7" s="92" t="s">
        <v>646</v>
      </c>
      <c r="H7" s="31" t="n">
        <v>250</v>
      </c>
      <c r="I7" s="100" t="n">
        <f aca="false">SUM($H$6:H7)</f>
        <v>750</v>
      </c>
      <c r="J7" s="24" t="s">
        <v>647</v>
      </c>
    </row>
    <row r="8" customFormat="false" ht="24" hidden="false" customHeight="true" outlineLevel="0" collapsed="false">
      <c r="A8" s="7" t="s">
        <v>648</v>
      </c>
      <c r="B8" s="92" t="s">
        <v>649</v>
      </c>
      <c r="C8" s="92" t="s">
        <v>650</v>
      </c>
      <c r="D8" s="92" t="s">
        <v>651</v>
      </c>
      <c r="E8" s="92" t="s">
        <v>652</v>
      </c>
      <c r="F8" s="9" t="s">
        <v>653</v>
      </c>
      <c r="G8" s="92" t="s">
        <v>285</v>
      </c>
      <c r="H8" s="31" t="n">
        <v>250</v>
      </c>
      <c r="I8" s="100" t="n">
        <f aca="false">SUM($H$6:H8)</f>
        <v>1000</v>
      </c>
      <c r="J8" s="24" t="s">
        <v>511</v>
      </c>
    </row>
    <row r="9" customFormat="false" ht="24" hidden="false" customHeight="true" outlineLevel="0" collapsed="false">
      <c r="A9" s="7" t="s">
        <v>654</v>
      </c>
      <c r="B9" s="92" t="s">
        <v>655</v>
      </c>
      <c r="C9" s="92" t="s">
        <v>656</v>
      </c>
      <c r="D9" s="92" t="s">
        <v>657</v>
      </c>
      <c r="E9" s="92" t="s">
        <v>658</v>
      </c>
      <c r="F9" s="9" t="s">
        <v>659</v>
      </c>
      <c r="G9" s="92" t="s">
        <v>660</v>
      </c>
      <c r="H9" s="31" t="n">
        <v>250</v>
      </c>
      <c r="I9" s="100" t="n">
        <f aca="false">SUM($H$6:H9)</f>
        <v>1250</v>
      </c>
      <c r="J9" s="24" t="s">
        <v>661</v>
      </c>
    </row>
    <row r="10" customFormat="false" ht="24" hidden="false" customHeight="true" outlineLevel="0" collapsed="false">
      <c r="A10" s="7" t="s">
        <v>662</v>
      </c>
      <c r="B10" s="92" t="s">
        <v>663</v>
      </c>
      <c r="C10" s="92" t="s">
        <v>664</v>
      </c>
      <c r="D10" s="92" t="s">
        <v>665</v>
      </c>
      <c r="E10" s="92" t="s">
        <v>666</v>
      </c>
      <c r="F10" s="9" t="s">
        <v>667</v>
      </c>
      <c r="G10" s="92" t="s">
        <v>668</v>
      </c>
      <c r="H10" s="31" t="n">
        <v>250</v>
      </c>
      <c r="I10" s="100" t="n">
        <f aca="false">SUM($H$6:H10)</f>
        <v>1500</v>
      </c>
      <c r="J10" s="24" t="s">
        <v>511</v>
      </c>
    </row>
    <row r="11" customFormat="false" ht="24" hidden="false" customHeight="true" outlineLevel="0" collapsed="false">
      <c r="A11" s="7" t="s">
        <v>669</v>
      </c>
      <c r="B11" s="92" t="s">
        <v>670</v>
      </c>
      <c r="C11" s="92" t="s">
        <v>671</v>
      </c>
      <c r="D11" s="92" t="s">
        <v>672</v>
      </c>
      <c r="E11" s="92" t="s">
        <v>673</v>
      </c>
      <c r="F11" s="9" t="s">
        <v>674</v>
      </c>
      <c r="G11" s="92" t="s">
        <v>285</v>
      </c>
      <c r="H11" s="31" t="n">
        <v>250</v>
      </c>
      <c r="I11" s="100" t="n">
        <f aca="false">SUM($H$6:H11)</f>
        <v>1750</v>
      </c>
      <c r="J11" s="24" t="s">
        <v>511</v>
      </c>
    </row>
    <row r="12" customFormat="false" ht="24" hidden="false" customHeight="true" outlineLevel="0" collapsed="false">
      <c r="A12" s="7" t="s">
        <v>675</v>
      </c>
      <c r="B12" s="92" t="s">
        <v>676</v>
      </c>
      <c r="C12" s="92" t="s">
        <v>677</v>
      </c>
      <c r="D12" s="92" t="s">
        <v>678</v>
      </c>
      <c r="E12" s="92" t="s">
        <v>679</v>
      </c>
      <c r="F12" s="9" t="s">
        <v>680</v>
      </c>
      <c r="G12" s="92" t="s">
        <v>681</v>
      </c>
      <c r="H12" s="31" t="n">
        <v>250</v>
      </c>
      <c r="I12" s="100" t="n">
        <f aca="false">SUM($H$6:H12)</f>
        <v>2000</v>
      </c>
      <c r="J12" s="24" t="s">
        <v>511</v>
      </c>
    </row>
    <row r="13" customFormat="false" ht="24" hidden="false" customHeight="true" outlineLevel="0" collapsed="false">
      <c r="A13" s="7" t="s">
        <v>682</v>
      </c>
      <c r="B13" s="92" t="s">
        <v>683</v>
      </c>
      <c r="C13" s="92" t="s">
        <v>684</v>
      </c>
      <c r="D13" s="92" t="s">
        <v>685</v>
      </c>
      <c r="E13" s="92" t="s">
        <v>686</v>
      </c>
      <c r="F13" s="9" t="s">
        <v>687</v>
      </c>
      <c r="G13" s="92" t="s">
        <v>688</v>
      </c>
      <c r="H13" s="31" t="n">
        <v>250</v>
      </c>
      <c r="I13" s="100" t="n">
        <f aca="false">SUM($H$6:H13)</f>
        <v>2250</v>
      </c>
      <c r="J13" s="24" t="s">
        <v>689</v>
      </c>
    </row>
    <row r="14" customFormat="false" ht="24" hidden="false" customHeight="true" outlineLevel="0" collapsed="false">
      <c r="A14" s="7" t="s">
        <v>690</v>
      </c>
      <c r="B14" s="92" t="s">
        <v>691</v>
      </c>
      <c r="C14" s="92" t="s">
        <v>671</v>
      </c>
      <c r="D14" s="92" t="s">
        <v>692</v>
      </c>
      <c r="E14" s="92" t="s">
        <v>693</v>
      </c>
      <c r="F14" s="9" t="s">
        <v>694</v>
      </c>
      <c r="G14" s="92" t="s">
        <v>695</v>
      </c>
      <c r="H14" s="31" t="s">
        <v>696</v>
      </c>
      <c r="I14" s="101" t="s">
        <v>697</v>
      </c>
      <c r="J14" s="24" t="s">
        <v>698</v>
      </c>
    </row>
    <row r="15" customFormat="false" ht="21.75" hidden="false" customHeight="true" outlineLevel="0" collapsed="false">
      <c r="A15" s="3"/>
      <c r="B15" s="3"/>
      <c r="C15" s="3"/>
      <c r="D15" s="3"/>
      <c r="E15" s="3"/>
      <c r="F15" s="3"/>
      <c r="G15" s="3"/>
      <c r="H15" s="3"/>
      <c r="I15" s="3"/>
      <c r="J15" s="3"/>
    </row>
    <row r="16" customFormat="false" ht="25.5" hidden="false" customHeight="true" outlineLevel="0" collapsed="false">
      <c r="A16" s="5" t="s">
        <v>699</v>
      </c>
      <c r="B16" s="5"/>
      <c r="C16" s="5"/>
      <c r="D16" s="5"/>
      <c r="E16" s="3"/>
      <c r="F16" s="5" t="s">
        <v>700</v>
      </c>
      <c r="G16" s="5"/>
      <c r="H16" s="5"/>
      <c r="I16" s="3"/>
      <c r="J16" s="3"/>
    </row>
    <row r="17" customFormat="false" ht="25.5" hidden="false" customHeight="true" outlineLevel="0" collapsed="false">
      <c r="A17" s="6" t="s">
        <v>701</v>
      </c>
      <c r="B17" s="6" t="s">
        <v>702</v>
      </c>
      <c r="C17" s="6" t="s">
        <v>703</v>
      </c>
      <c r="D17" s="6" t="s">
        <v>704</v>
      </c>
      <c r="E17" s="3"/>
      <c r="F17" s="6" t="s">
        <v>629</v>
      </c>
      <c r="G17" s="6" t="s">
        <v>705</v>
      </c>
      <c r="H17" s="6" t="s">
        <v>706</v>
      </c>
      <c r="I17" s="6" t="s">
        <v>707</v>
      </c>
      <c r="J17" s="3"/>
    </row>
    <row r="18" customFormat="false" ht="21.75" hidden="false" customHeight="true" outlineLevel="0" collapsed="false">
      <c r="A18" s="7" t="s">
        <v>708</v>
      </c>
      <c r="B18" s="65" t="s">
        <v>709</v>
      </c>
      <c r="C18" s="92" t="s">
        <v>710</v>
      </c>
      <c r="D18" s="102" t="s">
        <v>711</v>
      </c>
      <c r="E18" s="3"/>
      <c r="F18" s="92" t="s">
        <v>712</v>
      </c>
      <c r="G18" s="64" t="s">
        <v>289</v>
      </c>
      <c r="H18" s="64" t="s">
        <v>713</v>
      </c>
      <c r="I18" s="64" t="s">
        <v>714</v>
      </c>
      <c r="J18" s="3"/>
    </row>
    <row r="19" customFormat="false" ht="21.75" hidden="false" customHeight="true" outlineLevel="0" collapsed="false">
      <c r="A19" s="7" t="s">
        <v>715</v>
      </c>
      <c r="B19" s="65" t="s">
        <v>716</v>
      </c>
      <c r="C19" s="92" t="s">
        <v>717</v>
      </c>
      <c r="D19" s="102" t="s">
        <v>711</v>
      </c>
      <c r="E19" s="3"/>
      <c r="F19" s="92" t="s">
        <v>718</v>
      </c>
      <c r="G19" s="64" t="s">
        <v>296</v>
      </c>
      <c r="H19" s="64" t="s">
        <v>719</v>
      </c>
      <c r="I19" s="64" t="s">
        <v>720</v>
      </c>
      <c r="J19" s="3"/>
    </row>
    <row r="20" customFormat="false" ht="21.75" hidden="false" customHeight="true" outlineLevel="0" collapsed="false">
      <c r="A20" s="7" t="s">
        <v>721</v>
      </c>
      <c r="B20" s="65" t="s">
        <v>722</v>
      </c>
      <c r="C20" s="92" t="s">
        <v>723</v>
      </c>
      <c r="D20" s="102" t="s">
        <v>711</v>
      </c>
      <c r="E20" s="3"/>
      <c r="F20" s="92" t="s">
        <v>724</v>
      </c>
      <c r="G20" s="64" t="s">
        <v>289</v>
      </c>
      <c r="H20" s="64" t="s">
        <v>725</v>
      </c>
      <c r="I20" s="64" t="s">
        <v>726</v>
      </c>
      <c r="J20" s="3"/>
    </row>
    <row r="21" customFormat="false" ht="21.75" hidden="false" customHeight="true" outlineLevel="0" collapsed="false">
      <c r="A21" s="7" t="s">
        <v>727</v>
      </c>
      <c r="B21" s="65" t="s">
        <v>728</v>
      </c>
      <c r="C21" s="92" t="s">
        <v>729</v>
      </c>
      <c r="D21" s="102" t="s">
        <v>711</v>
      </c>
      <c r="E21" s="3"/>
      <c r="F21" s="92" t="s">
        <v>730</v>
      </c>
      <c r="G21" s="64" t="s">
        <v>289</v>
      </c>
      <c r="H21" s="64" t="s">
        <v>507</v>
      </c>
      <c r="I21" s="64" t="s">
        <v>731</v>
      </c>
      <c r="J21" s="3"/>
    </row>
    <row r="22" customFormat="false" ht="21.75" hidden="false" customHeight="true" outlineLevel="0" collapsed="false">
      <c r="A22" s="7" t="s">
        <v>732</v>
      </c>
      <c r="B22" s="65" t="s">
        <v>733</v>
      </c>
      <c r="C22" s="92" t="s">
        <v>734</v>
      </c>
      <c r="D22" s="102" t="s">
        <v>711</v>
      </c>
      <c r="E22" s="3"/>
      <c r="F22" s="92" t="s">
        <v>735</v>
      </c>
      <c r="G22" s="64" t="s">
        <v>736</v>
      </c>
      <c r="H22" s="64" t="s">
        <v>737</v>
      </c>
      <c r="I22" s="64" t="s">
        <v>738</v>
      </c>
      <c r="J22" s="3"/>
    </row>
    <row r="23" customFormat="false" ht="21.75" hidden="false" customHeight="true" outlineLevel="0" collapsed="false">
      <c r="A23" s="7" t="s">
        <v>739</v>
      </c>
      <c r="B23" s="65" t="s">
        <v>740</v>
      </c>
      <c r="C23" s="92" t="s">
        <v>741</v>
      </c>
      <c r="D23" s="102" t="s">
        <v>711</v>
      </c>
      <c r="E23" s="3"/>
      <c r="F23" s="92" t="s">
        <v>742</v>
      </c>
      <c r="G23" s="64" t="s">
        <v>743</v>
      </c>
      <c r="H23" s="64" t="s">
        <v>744</v>
      </c>
      <c r="I23" s="64" t="s">
        <v>745</v>
      </c>
      <c r="J23" s="3"/>
    </row>
    <row r="24" customFormat="false" ht="21.75" hidden="false" customHeight="true" outlineLevel="0" collapsed="false">
      <c r="A24" s="7" t="s">
        <v>746</v>
      </c>
      <c r="B24" s="65" t="s">
        <v>747</v>
      </c>
      <c r="C24" s="92" t="s">
        <v>686</v>
      </c>
      <c r="D24" s="102" t="s">
        <v>711</v>
      </c>
      <c r="E24" s="3"/>
      <c r="F24" s="3"/>
      <c r="G24" s="3"/>
      <c r="H24" s="3"/>
      <c r="I24" s="3"/>
      <c r="J24" s="3"/>
    </row>
    <row r="25" customFormat="false" ht="33.75" hidden="false" customHeight="true" outlineLevel="0" collapsed="false">
      <c r="A25" s="7" t="s">
        <v>648</v>
      </c>
      <c r="B25" s="65" t="s">
        <v>748</v>
      </c>
      <c r="C25" s="92" t="s">
        <v>749</v>
      </c>
      <c r="D25" s="102" t="s">
        <v>711</v>
      </c>
      <c r="E25" s="3"/>
      <c r="F25" s="103" t="s">
        <v>750</v>
      </c>
      <c r="G25" s="103"/>
      <c r="H25" s="103"/>
      <c r="I25" s="3"/>
      <c r="J25" s="3"/>
    </row>
    <row r="26" customFormat="false" ht="21.75" hidden="false" customHeight="true" outlineLevel="0" collapsed="false">
      <c r="A26" s="7" t="s">
        <v>751</v>
      </c>
      <c r="B26" s="65" t="s">
        <v>752</v>
      </c>
      <c r="C26" s="92" t="s">
        <v>753</v>
      </c>
      <c r="D26" s="102" t="s">
        <v>711</v>
      </c>
      <c r="E26" s="3"/>
      <c r="F26" s="3"/>
      <c r="G26" s="3"/>
      <c r="H26" s="3"/>
      <c r="I26" s="3"/>
      <c r="J26" s="3"/>
    </row>
    <row r="27" customFormat="false" ht="21.75" hidden="false" customHeight="true" outlineLevel="0" collapsed="false">
      <c r="A27" s="7" t="s">
        <v>754</v>
      </c>
      <c r="B27" s="65" t="s">
        <v>755</v>
      </c>
      <c r="C27" s="92" t="s">
        <v>756</v>
      </c>
      <c r="D27" s="102" t="s">
        <v>711</v>
      </c>
      <c r="E27" s="3"/>
      <c r="F27" s="3"/>
      <c r="G27" s="3"/>
      <c r="H27" s="3"/>
      <c r="I27" s="3"/>
      <c r="J27" s="3"/>
    </row>
    <row r="28" customFormat="false" ht="21.75" hidden="false" customHeight="true" outlineLevel="0" collapsed="false">
      <c r="A28" s="7" t="s">
        <v>632</v>
      </c>
      <c r="B28" s="65" t="s">
        <v>740</v>
      </c>
      <c r="C28" s="92" t="s">
        <v>757</v>
      </c>
      <c r="D28" s="102" t="s">
        <v>711</v>
      </c>
      <c r="E28" s="3"/>
      <c r="F28" s="3"/>
      <c r="G28" s="3"/>
      <c r="H28" s="3"/>
      <c r="I28" s="3"/>
      <c r="J28" s="3"/>
    </row>
    <row r="29" customFormat="false" ht="21.75" hidden="false" customHeight="true" outlineLevel="0" collapsed="false">
      <c r="A29" s="7" t="s">
        <v>758</v>
      </c>
      <c r="B29" s="65" t="s">
        <v>759</v>
      </c>
      <c r="C29" s="92" t="s">
        <v>760</v>
      </c>
      <c r="D29" s="102" t="s">
        <v>711</v>
      </c>
      <c r="E29" s="3"/>
      <c r="F29" s="3"/>
      <c r="G29" s="3"/>
      <c r="H29" s="3"/>
      <c r="I29" s="3"/>
      <c r="J29" s="3"/>
    </row>
  </sheetData>
  <mergeCells count="7">
    <mergeCell ref="A1:H1"/>
    <mergeCell ref="A2:H2"/>
    <mergeCell ref="A4:D4"/>
    <mergeCell ref="F4:H4"/>
    <mergeCell ref="A16:D16"/>
    <mergeCell ref="F16:H16"/>
    <mergeCell ref="F25:H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H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8" min="2" style="1" width="18"/>
  </cols>
  <sheetData>
    <row r="1" customFormat="false" ht="42" hidden="false" customHeight="true" outlineLevel="0" collapsed="false">
      <c r="A1" s="2" t="s">
        <v>761</v>
      </c>
      <c r="B1" s="2"/>
      <c r="C1" s="2"/>
      <c r="D1" s="2"/>
      <c r="E1" s="2"/>
      <c r="F1" s="2"/>
      <c r="G1" s="2"/>
      <c r="H1" s="2"/>
    </row>
    <row r="2" customFormat="false" ht="15" hidden="false" customHeight="true" outlineLevel="0" collapsed="false">
      <c r="A2" s="3"/>
      <c r="B2" s="3"/>
      <c r="C2" s="3"/>
      <c r="D2" s="3"/>
      <c r="E2" s="3"/>
      <c r="F2" s="3"/>
      <c r="G2" s="3"/>
      <c r="H2" s="3"/>
    </row>
    <row r="3" customFormat="false" ht="25.5" hidden="false" customHeight="true" outlineLevel="0" collapsed="false">
      <c r="A3" s="5" t="s">
        <v>762</v>
      </c>
      <c r="B3" s="5"/>
      <c r="C3" s="5"/>
      <c r="D3" s="5"/>
      <c r="E3" s="5"/>
      <c r="F3" s="5"/>
      <c r="G3" s="5"/>
      <c r="H3" s="5"/>
    </row>
    <row r="4" customFormat="false" ht="57.75" hidden="false" customHeight="true" outlineLevel="0" collapsed="false">
      <c r="A4" s="26" t="s">
        <v>763</v>
      </c>
      <c r="B4" s="26"/>
      <c r="C4" s="26"/>
      <c r="D4" s="26"/>
      <c r="E4" s="26"/>
      <c r="F4" s="26"/>
      <c r="G4" s="26"/>
      <c r="H4" s="26"/>
    </row>
    <row r="5" customFormat="false" ht="21.75" hidden="false" customHeight="true" outlineLevel="0" collapsed="false">
      <c r="A5" s="3"/>
      <c r="B5" s="3"/>
      <c r="C5" s="3"/>
      <c r="D5" s="3"/>
      <c r="E5" s="3"/>
      <c r="F5" s="3"/>
      <c r="G5" s="3"/>
      <c r="H5" s="3"/>
    </row>
    <row r="6" customFormat="false" ht="57.75" hidden="false" customHeight="true" outlineLevel="0" collapsed="false">
      <c r="A6" s="26" t="s">
        <v>764</v>
      </c>
      <c r="B6" s="26"/>
      <c r="C6" s="26"/>
      <c r="D6" s="26"/>
      <c r="E6" s="26"/>
      <c r="F6" s="26"/>
      <c r="G6" s="26"/>
      <c r="H6" s="26"/>
    </row>
    <row r="7" customFormat="false" ht="21.75" hidden="false" customHeight="true" outlineLevel="0" collapsed="false">
      <c r="A7" s="3"/>
      <c r="B7" s="3"/>
      <c r="C7" s="3"/>
      <c r="D7" s="3"/>
      <c r="E7" s="3"/>
      <c r="F7" s="3"/>
      <c r="G7" s="3"/>
      <c r="H7" s="3"/>
    </row>
    <row r="8" customFormat="false" ht="57.75" hidden="false" customHeight="true" outlineLevel="0" collapsed="false">
      <c r="A8" s="26" t="s">
        <v>765</v>
      </c>
      <c r="B8" s="26"/>
      <c r="C8" s="26"/>
      <c r="D8" s="26"/>
      <c r="E8" s="26"/>
      <c r="F8" s="26"/>
      <c r="G8" s="26"/>
      <c r="H8" s="26"/>
    </row>
    <row r="9" customFormat="false" ht="21.75" hidden="false" customHeight="true" outlineLevel="0" collapsed="false">
      <c r="A9" s="3"/>
      <c r="B9" s="3"/>
      <c r="C9" s="3"/>
      <c r="D9" s="3"/>
      <c r="E9" s="3"/>
      <c r="F9" s="3"/>
      <c r="G9" s="3"/>
      <c r="H9" s="3"/>
    </row>
    <row r="10" customFormat="false" ht="57.75" hidden="false" customHeight="true" outlineLevel="0" collapsed="false">
      <c r="A10" s="26" t="s">
        <v>766</v>
      </c>
      <c r="B10" s="26"/>
      <c r="C10" s="26"/>
      <c r="D10" s="26"/>
      <c r="E10" s="26"/>
      <c r="F10" s="26"/>
      <c r="G10" s="26"/>
      <c r="H10" s="26"/>
    </row>
    <row r="11" customFormat="false" ht="21.75" hidden="false" customHeight="true" outlineLevel="0" collapsed="false">
      <c r="A11" s="3"/>
      <c r="B11" s="3"/>
      <c r="C11" s="3"/>
      <c r="D11" s="3"/>
      <c r="E11" s="3"/>
      <c r="F11" s="3"/>
      <c r="G11" s="3"/>
      <c r="H11" s="3"/>
    </row>
    <row r="12" customFormat="false" ht="57.75" hidden="false" customHeight="true" outlineLevel="0" collapsed="false">
      <c r="A12" s="26" t="s">
        <v>767</v>
      </c>
      <c r="B12" s="26"/>
      <c r="C12" s="26"/>
      <c r="D12" s="26"/>
      <c r="E12" s="26"/>
      <c r="F12" s="26"/>
      <c r="G12" s="26"/>
      <c r="H12" s="26"/>
    </row>
    <row r="13" customFormat="false" ht="21.75" hidden="false" customHeight="true" outlineLevel="0" collapsed="false">
      <c r="A13" s="3"/>
      <c r="B13" s="3"/>
      <c r="C13" s="3"/>
      <c r="D13" s="3"/>
      <c r="E13" s="3"/>
      <c r="F13" s="3"/>
      <c r="G13" s="3"/>
      <c r="H13" s="3"/>
    </row>
    <row r="14" customFormat="false" ht="57.75" hidden="false" customHeight="true" outlineLevel="0" collapsed="false">
      <c r="A14" s="26" t="s">
        <v>768</v>
      </c>
      <c r="B14" s="26"/>
      <c r="C14" s="26"/>
      <c r="D14" s="26"/>
      <c r="E14" s="26"/>
      <c r="F14" s="26"/>
      <c r="G14" s="26"/>
      <c r="H14" s="26"/>
    </row>
    <row r="15" customFormat="false" ht="21.75" hidden="false" customHeight="true" outlineLevel="0" collapsed="false">
      <c r="A15" s="3"/>
      <c r="B15" s="3"/>
      <c r="C15" s="3"/>
      <c r="D15" s="3"/>
      <c r="E15" s="3"/>
      <c r="F15" s="3"/>
      <c r="G15" s="3"/>
      <c r="H15" s="3"/>
    </row>
    <row r="16" customFormat="false" ht="57.75" hidden="false" customHeight="true" outlineLevel="0" collapsed="false">
      <c r="A16" s="26" t="s">
        <v>769</v>
      </c>
      <c r="B16" s="26"/>
      <c r="C16" s="26"/>
      <c r="D16" s="26"/>
      <c r="E16" s="26"/>
      <c r="F16" s="26"/>
      <c r="G16" s="26"/>
      <c r="H16" s="26"/>
    </row>
    <row r="17" customFormat="false" ht="21.75" hidden="false" customHeight="true" outlineLevel="0" collapsed="false">
      <c r="A17" s="3"/>
      <c r="B17" s="3"/>
      <c r="C17" s="3"/>
      <c r="D17" s="3"/>
      <c r="E17" s="3"/>
      <c r="F17" s="3"/>
      <c r="G17" s="3"/>
      <c r="H17" s="3"/>
    </row>
    <row r="18" customFormat="false" ht="57.75" hidden="false" customHeight="true" outlineLevel="0" collapsed="false">
      <c r="A18" s="26" t="s">
        <v>770</v>
      </c>
      <c r="B18" s="26"/>
      <c r="C18" s="26"/>
      <c r="D18" s="26"/>
      <c r="E18" s="26"/>
      <c r="F18" s="26"/>
      <c r="G18" s="26"/>
      <c r="H18" s="26"/>
    </row>
    <row r="19" customFormat="false" ht="21.75" hidden="false" customHeight="true" outlineLevel="0" collapsed="false">
      <c r="A19" s="3"/>
      <c r="B19" s="3"/>
      <c r="C19" s="3"/>
      <c r="D19" s="3"/>
      <c r="E19" s="3"/>
      <c r="F19" s="3"/>
      <c r="G19" s="3"/>
      <c r="H19" s="3"/>
    </row>
    <row r="20" customFormat="false" ht="25.5" hidden="false" customHeight="true" outlineLevel="0" collapsed="false">
      <c r="A20" s="5" t="s">
        <v>771</v>
      </c>
      <c r="B20" s="5"/>
      <c r="C20" s="5"/>
      <c r="D20" s="5"/>
      <c r="E20" s="5"/>
      <c r="F20" s="5"/>
      <c r="G20" s="5"/>
      <c r="H20" s="5"/>
    </row>
    <row r="21" customFormat="false" ht="27.75" hidden="false" customHeight="true" outlineLevel="0" collapsed="false">
      <c r="A21" s="104" t="s">
        <v>772</v>
      </c>
      <c r="B21" s="104"/>
      <c r="C21" s="104"/>
      <c r="D21" s="104"/>
      <c r="E21" s="104"/>
      <c r="F21" s="104"/>
      <c r="G21" s="104"/>
      <c r="H21" s="104"/>
    </row>
    <row r="22" customFormat="false" ht="27.75" hidden="false" customHeight="true" outlineLevel="0" collapsed="false">
      <c r="A22" s="104" t="s">
        <v>773</v>
      </c>
      <c r="B22" s="104"/>
      <c r="C22" s="104"/>
      <c r="D22" s="104"/>
      <c r="E22" s="104"/>
      <c r="F22" s="104"/>
      <c r="G22" s="104"/>
      <c r="H22" s="104"/>
    </row>
    <row r="23" customFormat="false" ht="27.75" hidden="false" customHeight="true" outlineLevel="0" collapsed="false">
      <c r="A23" s="104" t="s">
        <v>774</v>
      </c>
      <c r="B23" s="104"/>
      <c r="C23" s="104"/>
      <c r="D23" s="104"/>
      <c r="E23" s="104"/>
      <c r="F23" s="104"/>
      <c r="G23" s="104"/>
      <c r="H23" s="104"/>
    </row>
    <row r="24" customFormat="false" ht="27.75" hidden="false" customHeight="true" outlineLevel="0" collapsed="false">
      <c r="A24" s="104" t="s">
        <v>775</v>
      </c>
      <c r="B24" s="104"/>
      <c r="C24" s="104"/>
      <c r="D24" s="104"/>
      <c r="E24" s="104"/>
      <c r="F24" s="104"/>
      <c r="G24" s="104"/>
      <c r="H24" s="104"/>
    </row>
    <row r="25" customFormat="false" ht="27.75" hidden="false" customHeight="true" outlineLevel="0" collapsed="false">
      <c r="A25" s="104" t="s">
        <v>776</v>
      </c>
      <c r="B25" s="104"/>
      <c r="C25" s="104"/>
      <c r="D25" s="104"/>
      <c r="E25" s="104"/>
      <c r="F25" s="104"/>
      <c r="G25" s="104"/>
      <c r="H25" s="104"/>
    </row>
    <row r="26" customFormat="false" ht="27.75" hidden="false" customHeight="true" outlineLevel="0" collapsed="false">
      <c r="A26" s="104" t="s">
        <v>777</v>
      </c>
      <c r="B26" s="104"/>
      <c r="C26" s="104"/>
      <c r="D26" s="104"/>
      <c r="E26" s="104"/>
      <c r="F26" s="104"/>
      <c r="G26" s="104"/>
      <c r="H26" s="104"/>
    </row>
    <row r="27" customFormat="false" ht="27.75" hidden="false" customHeight="true" outlineLevel="0" collapsed="false">
      <c r="A27" s="104" t="s">
        <v>778</v>
      </c>
      <c r="B27" s="104"/>
      <c r="C27" s="104"/>
      <c r="D27" s="104"/>
      <c r="E27" s="104"/>
      <c r="F27" s="104"/>
      <c r="G27" s="104"/>
      <c r="H27" s="104"/>
    </row>
    <row r="28" customFormat="false" ht="27.75" hidden="false" customHeight="true" outlineLevel="0" collapsed="false">
      <c r="A28" s="104" t="s">
        <v>779</v>
      </c>
      <c r="B28" s="104"/>
      <c r="C28" s="104"/>
      <c r="D28" s="104"/>
      <c r="E28" s="104"/>
      <c r="F28" s="104"/>
      <c r="G28" s="104"/>
      <c r="H28" s="104"/>
    </row>
    <row r="29" customFormat="false" ht="27.75" hidden="false" customHeight="true" outlineLevel="0" collapsed="false">
      <c r="A29" s="104" t="s">
        <v>780</v>
      </c>
      <c r="B29" s="104"/>
      <c r="C29" s="104"/>
      <c r="D29" s="104"/>
      <c r="E29" s="104"/>
      <c r="F29" s="104"/>
      <c r="G29" s="104"/>
      <c r="H29" s="104"/>
    </row>
    <row r="30" customFormat="false" ht="27.75" hidden="false" customHeight="true" outlineLevel="0" collapsed="false">
      <c r="A30" s="104" t="s">
        <v>781</v>
      </c>
      <c r="B30" s="104"/>
      <c r="C30" s="104"/>
      <c r="D30" s="104"/>
      <c r="E30" s="104"/>
      <c r="F30" s="104"/>
      <c r="G30" s="104"/>
      <c r="H30" s="104"/>
    </row>
    <row r="31" customFormat="false" ht="27.75" hidden="false" customHeight="true" outlineLevel="0" collapsed="false">
      <c r="A31" s="104" t="s">
        <v>782</v>
      </c>
      <c r="B31" s="104"/>
      <c r="C31" s="104"/>
      <c r="D31" s="104"/>
      <c r="E31" s="104"/>
      <c r="F31" s="104"/>
      <c r="G31" s="104"/>
      <c r="H31" s="104"/>
    </row>
    <row r="32" customFormat="false" ht="27.75" hidden="false" customHeight="true" outlineLevel="0" collapsed="false">
      <c r="A32" s="104" t="s">
        <v>783</v>
      </c>
      <c r="B32" s="104"/>
      <c r="C32" s="104"/>
      <c r="D32" s="104"/>
      <c r="E32" s="104"/>
      <c r="F32" s="104"/>
      <c r="G32" s="104"/>
      <c r="H32" s="104"/>
    </row>
    <row r="33" customFormat="false" ht="21.75" hidden="false" customHeight="true" outlineLevel="0" collapsed="false">
      <c r="A33" s="3"/>
      <c r="B33" s="3"/>
      <c r="C33" s="3"/>
      <c r="D33" s="3"/>
      <c r="E33" s="3"/>
      <c r="F33" s="3"/>
      <c r="G33" s="3"/>
      <c r="H33" s="3"/>
    </row>
    <row r="34" customFormat="false" ht="21.75" hidden="false" customHeight="true" outlineLevel="0" collapsed="false">
      <c r="A34" s="3"/>
      <c r="B34" s="3"/>
      <c r="C34" s="3"/>
      <c r="D34" s="3"/>
      <c r="E34" s="3"/>
      <c r="F34" s="3"/>
      <c r="G34" s="3"/>
      <c r="H34" s="3"/>
    </row>
    <row r="35" customFormat="false" ht="25.5" hidden="false" customHeight="true" outlineLevel="0" collapsed="false">
      <c r="A35" s="5" t="s">
        <v>784</v>
      </c>
      <c r="B35" s="5"/>
      <c r="C35" s="5"/>
      <c r="D35" s="5"/>
      <c r="E35" s="5"/>
      <c r="F35" s="5"/>
      <c r="G35" s="5"/>
      <c r="H35" s="5"/>
    </row>
    <row r="36" customFormat="false" ht="42" hidden="false" customHeight="true" outlineLevel="0" collapsed="false">
      <c r="A36" s="105" t="s">
        <v>785</v>
      </c>
      <c r="B36" s="105"/>
      <c r="C36" s="105"/>
      <c r="D36" s="105"/>
      <c r="E36" s="105"/>
      <c r="F36" s="105"/>
      <c r="G36" s="105"/>
      <c r="H36" s="105"/>
    </row>
    <row r="37" customFormat="false" ht="24" hidden="false" customHeight="true" outlineLevel="0" collapsed="false">
      <c r="A37" s="3"/>
      <c r="B37" s="3"/>
      <c r="C37" s="3"/>
      <c r="D37" s="3"/>
      <c r="E37" s="3"/>
      <c r="F37" s="3"/>
      <c r="G37" s="3"/>
      <c r="H37" s="3"/>
    </row>
    <row r="38" customFormat="false" ht="42" hidden="false" customHeight="true" outlineLevel="0" collapsed="false">
      <c r="A38" s="106" t="s">
        <v>786</v>
      </c>
      <c r="B38" s="106"/>
      <c r="C38" s="106"/>
      <c r="D38" s="106"/>
      <c r="E38" s="106"/>
      <c r="F38" s="106"/>
      <c r="G38" s="106"/>
      <c r="H38" s="106"/>
    </row>
    <row r="39" customFormat="false" ht="42" hidden="false" customHeight="true" outlineLevel="0" collapsed="false">
      <c r="A39" s="106" t="s">
        <v>787</v>
      </c>
      <c r="B39" s="106"/>
      <c r="C39" s="106"/>
      <c r="D39" s="106"/>
      <c r="E39" s="106"/>
      <c r="F39" s="106"/>
      <c r="G39" s="106"/>
      <c r="H39" s="106"/>
    </row>
    <row r="40" customFormat="false" ht="42" hidden="false" customHeight="true" outlineLevel="0" collapsed="false">
      <c r="A40" s="106" t="s">
        <v>788</v>
      </c>
      <c r="B40" s="106"/>
      <c r="C40" s="106"/>
      <c r="D40" s="106"/>
      <c r="E40" s="106"/>
      <c r="F40" s="106"/>
      <c r="G40" s="106"/>
      <c r="H40" s="106"/>
    </row>
    <row r="41" customFormat="false" ht="42" hidden="false" customHeight="true" outlineLevel="0" collapsed="false">
      <c r="A41" s="106" t="s">
        <v>789</v>
      </c>
      <c r="B41" s="106"/>
      <c r="C41" s="106"/>
      <c r="D41" s="106"/>
      <c r="E41" s="106"/>
      <c r="F41" s="106"/>
      <c r="G41" s="106"/>
      <c r="H41" s="106"/>
    </row>
    <row r="42" customFormat="false" ht="42" hidden="false" customHeight="true" outlineLevel="0" collapsed="false">
      <c r="A42" s="106" t="s">
        <v>790</v>
      </c>
      <c r="B42" s="106"/>
      <c r="C42" s="106"/>
      <c r="D42" s="106"/>
      <c r="E42" s="106"/>
      <c r="F42" s="106"/>
      <c r="G42" s="106"/>
      <c r="H42" s="106"/>
    </row>
    <row r="43" customFormat="false" ht="42" hidden="false" customHeight="true" outlineLevel="0" collapsed="false">
      <c r="A43" s="106" t="s">
        <v>791</v>
      </c>
      <c r="B43" s="106"/>
      <c r="C43" s="106"/>
      <c r="D43" s="106"/>
      <c r="E43" s="106"/>
      <c r="F43" s="106"/>
      <c r="G43" s="106"/>
      <c r="H43" s="106"/>
    </row>
    <row r="44" customFormat="false" ht="24" hidden="false" customHeight="true" outlineLevel="0" collapsed="false">
      <c r="A44" s="3"/>
      <c r="B44" s="3"/>
      <c r="C44" s="3"/>
      <c r="D44" s="3"/>
      <c r="E44" s="3"/>
      <c r="F44" s="3"/>
      <c r="G44" s="3"/>
      <c r="H44" s="3"/>
    </row>
    <row r="45" customFormat="false" ht="42" hidden="false" customHeight="true" outlineLevel="0" collapsed="false">
      <c r="A45" s="105" t="s">
        <v>792</v>
      </c>
      <c r="B45" s="105"/>
      <c r="C45" s="105"/>
      <c r="D45" s="105"/>
      <c r="E45" s="105"/>
      <c r="F45" s="105"/>
      <c r="G45" s="105"/>
      <c r="H45" s="105"/>
    </row>
    <row r="46" customFormat="false" ht="24" hidden="false" customHeight="true" outlineLevel="0" collapsed="false">
      <c r="A46" s="3"/>
      <c r="B46" s="3"/>
      <c r="C46" s="3"/>
      <c r="D46" s="3"/>
      <c r="E46" s="3"/>
      <c r="F46" s="3"/>
      <c r="G46" s="3"/>
      <c r="H46" s="3"/>
    </row>
    <row r="47" customFormat="false" ht="42" hidden="false" customHeight="true" outlineLevel="0" collapsed="false">
      <c r="A47" s="105" t="s">
        <v>793</v>
      </c>
      <c r="B47" s="105"/>
      <c r="C47" s="105"/>
      <c r="D47" s="105"/>
      <c r="E47" s="105"/>
      <c r="F47" s="105"/>
      <c r="G47" s="105"/>
      <c r="H47" s="105"/>
    </row>
  </sheetData>
  <mergeCells count="36">
    <mergeCell ref="A1:H1"/>
    <mergeCell ref="A3:H3"/>
    <mergeCell ref="A4:H4"/>
    <mergeCell ref="A6:H6"/>
    <mergeCell ref="A8:H8"/>
    <mergeCell ref="A10:H10"/>
    <mergeCell ref="A12:H12"/>
    <mergeCell ref="A14:H14"/>
    <mergeCell ref="A16:H16"/>
    <mergeCell ref="A18:H18"/>
    <mergeCell ref="A20:H20"/>
    <mergeCell ref="A21:H21"/>
    <mergeCell ref="A22:H22"/>
    <mergeCell ref="A23:H23"/>
    <mergeCell ref="A24:H24"/>
    <mergeCell ref="A25:H25"/>
    <mergeCell ref="A26:H26"/>
    <mergeCell ref="A27:H27"/>
    <mergeCell ref="A28:H28"/>
    <mergeCell ref="A29:H29"/>
    <mergeCell ref="A30:H30"/>
    <mergeCell ref="A31:H31"/>
    <mergeCell ref="A32:H32"/>
    <mergeCell ref="A35:H35"/>
    <mergeCell ref="A36:H36"/>
    <mergeCell ref="A37:H37"/>
    <mergeCell ref="A38:H38"/>
    <mergeCell ref="A39:H39"/>
    <mergeCell ref="A40:H40"/>
    <mergeCell ref="A41:H41"/>
    <mergeCell ref="A42:H42"/>
    <mergeCell ref="A43:H43"/>
    <mergeCell ref="A44:H44"/>
    <mergeCell ref="A45:H45"/>
    <mergeCell ref="A46:H46"/>
    <mergeCell ref="A47:H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2026-08-27T15:24:47Z</dcterms:created>
  <dc:creator>openpyxl</dc:creator>
  <dc:description/>
  <dc:language>en-US</dc:language>
  <cp:lastModifiedBy/>
  <dcterms:modified xsi:type="dcterms:W3CDTF">2026-08-27T16:24:55Z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